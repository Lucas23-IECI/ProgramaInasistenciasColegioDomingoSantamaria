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027dd4f0f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Plan" sheetId="1" r:id="R492f74da4d3848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mmm\ d\,\ yyyy"/>
    <x:numFmt numFmtId="165" formatCode="#,##0;[Red]\(#,##0\);\-"/>
    <x:numFmt numFmtId="166" formatCode="mmm\ d"/>
    <x:numFmt numFmtId="167" formatCode=";;;"/>
    <x:numFmt numFmtId="200" formatCode="mmm d"/>
    <x:numFmt numFmtId="201" formatCode="mmm d, yyyy"/>
  </x:numFmts>
  <x:fonts count="16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3F3296"/>
      <x:name val="Arial"/>
    </x:font>
    <x:font>
      <x:b/>
      <x:sz val="9"/>
      <x:color rgb="FF3F3296"/>
      <x:name val="Arial"/>
    </x:font>
    <x:font>
      <x:b/>
      <x:sz val="8"/>
      <x:color rgb="FFFFFFFF"/>
      <x:name val="Arial"/>
    </x:font>
    <x:font>
      <x:b/>
      <x:sz val="18"/>
      <x:color rgb="FF3F3296"/>
      <x:name val="Arial"/>
    </x:font>
    <x:font>
      <x:b/>
      <x:sz val="18"/>
      <x:color rgb="FF087E5D"/>
      <x:name val="Arial"/>
    </x:font>
    <x:font>
      <x:b/>
      <x:sz val="18"/>
      <x:color rgb="FF3258CD"/>
      <x:name val="Arial"/>
    </x:font>
    <x:font>
      <x:b/>
      <x:sz val="18"/>
      <x:color rgb="FFC23647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i/>
      <x:sz val="9"/>
      <x:color rgb="FF3F3296"/>
      <x:name val="Arial"/>
    </x:font>
    <x:font>
      <x:sz val="11"/>
      <x:name val="Arial"/>
    </x:font>
    <x:font>
      <x:sz val="9"/>
      <x:color rgb="FF0432FF"/>
      <x:name val="Arial"/>
    </x:font>
    <x:font>
      <x:b/>
      <x:sz val="9"/>
      <x:color rgb="FF3E3297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3F3296"/>
      </x:patternFill>
    </x:fill>
    <x:fill>
      <x:patternFill patternType="solid">
        <x:fgColor rgb="FFF2EDFF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5E4CC7"/>
      </x:patternFill>
    </x:fill>
    <x:fill>
      <x:patternFill patternType="solid">
        <x:fgColor rgb="FFFAF8FF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ECE8FA"/>
      </x:left>
      <x:top style="thin">
        <x:color rgb="FFECE8FA"/>
      </x:top>
      <x:bottom style="thin">
        <x:color rgb="FFECE8FA"/>
      </x:bottom>
    </x:border>
    <x:border>
      <x:top style="thin">
        <x:color rgb="FFECE8FA"/>
      </x:top>
      <x:bottom style="thin">
        <x:color rgb="FFECE8FA"/>
      </x:bottom>
    </x:border>
    <x:border>
      <x:right style="thin">
        <x:color rgb="FFECE8FA"/>
      </x:right>
      <x:top style="thin">
        <x:color rgb="FFECE8FA"/>
      </x:top>
      <x:bottom style="thin">
        <x:color rgb="FFECE8FA"/>
      </x:bottom>
    </x:border>
    <x:border>
      <x:left style="thin">
        <x:color rgb="FFECE8FA"/>
      </x:left>
      <x:top style="thin">
        <x:color rgb="FFECE8FA"/>
      </x:top>
    </x:border>
    <x:border>
      <x:top style="thin">
        <x:color rgb="FFECE8FA"/>
      </x:top>
    </x:border>
    <x:border>
      <x:right style="thin">
        <x:color rgb="FFECE8FA"/>
      </x:right>
      <x:top style="thin">
        <x:color rgb="FFECE8FA"/>
      </x:top>
    </x:border>
    <x:border>
      <x:left style="thin">
        <x:color rgb="FFECE8FA"/>
      </x:left>
      <x:bottom style="thin">
        <x:color rgb="FFECE8FA"/>
      </x:bottom>
    </x:border>
    <x:border>
      <x:bottom style="thin">
        <x:color rgb="FFECE8FA"/>
      </x:bottom>
    </x:border>
    <x:border>
      <x:right style="thin">
        <x:color rgb="FFECE8FA"/>
      </x:right>
      <x:bottom style="thin">
        <x:color rgb="FFECE8FA"/>
      </x:bottom>
    </x:border>
    <x:border>
      <x:left style="thin">
        <x:color rgb="FFD6C26E"/>
      </x:left>
      <x:top style="thin">
        <x:color rgb="FFD9E0E6"/>
      </x:top>
      <x:bottom style="thin">
        <x:color rgb="FFD9E0E6"/>
      </x:bottom>
    </x:border>
    <x:border>
      <x:right style="thin">
        <x:color rgb="FFD6C26E"/>
      </x:right>
      <x:top style="thin">
        <x:color rgb="FFD9E0E6"/>
      </x:top>
      <x:bottom style="thin">
        <x:color rgb="FFD9E0E6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10" fillId="6" borderId="1" xfId="0" applyFont="1" applyFill="1" applyBorder="1" applyAlignment="1">
      <x:alignment horizontal="center" vertical="center" wrapText="1"/>
    </x:xf>
    <x:xf numFmtId="166" fontId="10" fillId="6" borderId="1" xfId="0" applyNumberFormat="1" applyFont="1" applyFill="1" applyBorder="1" applyAlignment="1">
      <x:alignment horizontal="center" vertical="center" wrapText="1"/>
    </x:xf>
    <x:xf numFmtId="0" fontId="11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left" vertical="center"/>
    </x:xf>
    <x:xf numFmtId="0" fontId="4" fillId="7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center" vertical="center"/>
    </x:xf>
    <x:xf numFmtId="0" fontId="11" fillId="4" borderId="1" xfId="0" applyFont="1" applyFill="1" applyBorder="1" applyAlignment="1">
      <x:alignment horizontal="center" vertical="center"/>
    </x:xf>
    <x:xf numFmtId="166" fontId="11" fillId="7" borderId="1" xfId="0" applyNumberFormat="1" applyFont="1" applyFill="1" applyBorder="1" applyAlignment="1">
      <x:alignment horizontal="center" vertical="center"/>
    </x:xf>
    <x:xf numFmtId="166" fontId="11" fillId="4" borderId="1" xfId="0" applyNumberFormat="1" applyFont="1" applyFill="1" applyBorder="1" applyAlignment="1">
      <x:alignment horizontal="center" vertical="center"/>
    </x:xf>
    <x:xf numFmtId="165" fontId="11" fillId="3" borderId="1" xfId="0" applyNumberFormat="1" applyFont="1" applyFill="1" applyBorder="1" applyAlignment="1">
      <x:alignment horizontal="center" vertical="center"/>
    </x:xf>
    <x:xf numFmtId="167" fontId="11" fillId="4" borderId="1" xfId="0" applyNumberFormat="1" applyFont="1" applyFill="1" applyBorder="1" applyAlignment="1">
      <x:alignment horizontal="left" vertical="center"/>
    </x:xf>
    <x:xf numFmtId="167" fontId="11" fillId="7" borderId="1" xfId="0" applyNumberFormat="1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3" fillId="0" borderId="0" xfId="0" applyFont="1" applyAlignment="1">
      <x:alignment vertical="center"/>
    </x:xf>
    <x:xf numFmtId="166" fontId="14" fillId="7" borderId="1" xfId="0" applyNumberFormat="1" applyFont="1" applyFill="1" applyBorder="1" applyAlignment="1">
      <x:alignment horizontal="center" vertical="center"/>
    </x:xf>
    <x:xf numFmtId="166" fontId="14" fillId="4" borderId="1" xfId="0" applyNumberFormat="1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14" fillId="8" borderId="2" xfId="0" applyFont="1" applyFill="1" applyBorder="1" applyAlignment="1">
      <x:alignment horizontal="left" vertical="center"/>
    </x:xf>
    <x:xf numFmtId="0" fontId="14" fillId="5" borderId="2" xfId="0" applyFont="1" applyFill="1" applyBorder="1" applyAlignment="1">
      <x:alignment horizontal="left" vertical="center"/>
    </x:xf>
    <x:xf numFmtId="0" fontId="5" fillId="2" borderId="3" xfId="0" applyFont="1" applyFill="1" applyBorder="1" applyAlignment="1">
      <x:alignment horizontal="center" vertical="center"/>
    </x:xf>
    <x:xf numFmtId="0" fontId="5" fillId="2" borderId="4" xfId="0" applyFont="1" applyFill="1" applyBorder="1" applyAlignment="1">
      <x:alignment horizontal="center" vertical="center"/>
    </x:xf>
    <x:xf numFmtId="0" fontId="5" fillId="2" borderId="5" xfId="0" applyFont="1" applyFill="1" applyBorder="1" applyAlignment="1">
      <x:alignment horizontal="center" vertical="center"/>
    </x:xf>
    <x:xf numFmtId="0" fontId="4" fillId="4" borderId="12" xfId="0" applyFont="1" applyFill="1" applyBorder="1" applyAlignment="1">
      <x:alignment horizontal="center" vertical="center" wrapText="1"/>
    </x:xf>
    <x:xf numFmtId="0" fontId="4" fillId="4" borderId="13" xfId="0" applyFont="1" applyFill="1" applyBorder="1" applyAlignment="1">
      <x:alignment horizontal="center" vertical="center" wrapText="1"/>
    </x:xf>
    <x:xf numFmtId="0" fontId="12" fillId="3" borderId="6" xfId="0" applyFont="1" applyFill="1" applyBorder="1" applyAlignment="1">
      <x:alignment horizontal="left" vertical="center" wrapText="1"/>
    </x:xf>
    <x:xf numFmtId="0" fontId="12" fillId="3" borderId="7" xfId="0" applyFont="1" applyFill="1" applyBorder="1" applyAlignment="1">
      <x:alignment horizontal="left" vertical="center" wrapText="1"/>
    </x:xf>
    <x:xf numFmtId="0" fontId="12" fillId="3" borderId="8" xfId="0" applyFont="1" applyFill="1" applyBorder="1" applyAlignment="1">
      <x:alignment horizontal="left" vertical="center" wrapText="1"/>
    </x:xf>
    <x:xf numFmtId="0" fontId="12" fillId="3" borderId="9" xfId="0" applyFont="1" applyFill="1" applyBorder="1" applyAlignment="1">
      <x:alignment horizontal="left" vertical="center" wrapText="1"/>
    </x:xf>
    <x:xf numFmtId="0" fontId="12" fillId="3" borderId="10" xfId="0" applyFont="1" applyFill="1" applyBorder="1" applyAlignment="1">
      <x:alignment horizontal="left" vertical="center" wrapText="1"/>
    </x:xf>
    <x:xf numFmtId="0" fontId="12" fillId="3" borderId="11" xfId="0" applyFont="1" applyFill="1" applyBorder="1" applyAlignment="1">
      <x:alignment horizontal="left" vertical="center" wrapText="1"/>
    </x:xf>
    <x:xf numFmtId="165" fontId="8" fillId="3" borderId="3" xfId="0" applyNumberFormat="1" applyFont="1" applyFill="1" applyBorder="1" applyAlignment="1">
      <x:alignment horizontal="center" vertical="center"/>
    </x:xf>
    <x:xf numFmtId="165" fontId="8" fillId="3" borderId="4" xfId="0" applyNumberFormat="1" applyFont="1" applyFill="1" applyBorder="1" applyAlignment="1">
      <x:alignment horizontal="center" vertical="center"/>
    </x:xf>
    <x:xf numFmtId="165" fontId="8" fillId="3" borderId="5" xfId="0" applyNumberFormat="1" applyFont="1" applyFill="1" applyBorder="1" applyAlignment="1">
      <x:alignment horizontal="center" vertical="center"/>
    </x:xf>
    <x:xf numFmtId="165" fontId="9" fillId="3" borderId="3" xfId="0" applyNumberFormat="1" applyFont="1" applyFill="1" applyBorder="1" applyAlignment="1">
      <x:alignment horizontal="center" vertical="center"/>
    </x:xf>
    <x:xf numFmtId="165" fontId="9" fillId="3" borderId="4" xfId="0" applyNumberFormat="1" applyFont="1" applyFill="1" applyBorder="1" applyAlignment="1">
      <x:alignment horizontal="center" vertical="center"/>
    </x:xf>
    <x:xf numFmtId="165" fontId="9" fillId="3" borderId="5" xfId="0" applyNumberFormat="1" applyFont="1" applyFill="1" applyBorder="1" applyAlignment="1">
      <x:alignment horizontal="center" vertical="center"/>
    </x:xf>
    <x:xf numFmtId="164" fontId="14" fillId="5" borderId="2" xfId="0" applyNumberFormat="1" applyFont="1" applyFill="1" applyBorder="1" applyAlignment="1">
      <x:alignment horizontal="left" vertical="center"/>
    </x:xf>
    <x:xf numFmtId="165" fontId="6" fillId="3" borderId="3" xfId="0" applyNumberFormat="1" applyFont="1" applyFill="1" applyBorder="1" applyAlignment="1">
      <x:alignment horizontal="center" vertical="center"/>
    </x:xf>
    <x:xf numFmtId="165" fontId="6" fillId="3" borderId="4" xfId="0" applyNumberFormat="1" applyFont="1" applyFill="1" applyBorder="1" applyAlignment="1">
      <x:alignment horizontal="center" vertical="center"/>
    </x:xf>
    <x:xf numFmtId="165" fontId="6" fillId="3" borderId="5" xfId="0" applyNumberFormat="1" applyFont="1" applyFill="1" applyBorder="1" applyAlignment="1">
      <x:alignment horizontal="center" vertical="center"/>
    </x:xf>
    <x:xf numFmtId="165" fontId="7" fillId="3" borderId="3" xfId="0" applyNumberFormat="1" applyFont="1" applyFill="1" applyBorder="1" applyAlignment="1">
      <x:alignment horizontal="center" vertical="center"/>
    </x:xf>
    <x:xf numFmtId="165" fontId="7" fillId="3" borderId="4" xfId="0" applyNumberFormat="1" applyFont="1" applyFill="1" applyBorder="1" applyAlignment="1">
      <x:alignment horizontal="center" vertical="center"/>
    </x:xf>
    <x:xf numFmtId="165" fontId="7" fillId="3" borderId="5" xfId="0" applyNumberFormat="1" applyFont="1" applyFill="1" applyBorder="1" applyAlignment="1">
      <x:alignment horizontal="center" vertical="center"/>
    </x:xf>
    <x:xf numFmtId="200" fontId="14" fillId="7" borderId="1" xfId="0" applyNumberFormat="1" applyFont="1" applyFill="1" applyBorder="1" applyAlignment="1">
      <x:alignment horizontal="center" vertical="center"/>
    </x:xf>
    <x:xf numFmtId="200" fontId="14" fillId="4" borderId="1" xfId="0" applyNumberFormat="1" applyFont="1" applyFill="1" applyBorder="1" applyAlignment="1">
      <x:alignment horizontal="center" vertical="center"/>
    </x:xf>
    <x:xf numFmtId="200" fontId="11" fillId="4" borderId="1" xfId="0" applyNumberFormat="1" applyFont="1" applyFill="1" applyBorder="1" applyAlignment="1">
      <x:alignment horizontal="center" vertical="center"/>
    </x:xf>
    <x:xf numFmtId="200" fontId="11" fillId="7" borderId="1" xfId="0" applyNumberFormat="1" applyFont="1" applyFill="1" applyBorder="1" applyAlignment="1">
      <x:alignment horizontal="center" vertical="center"/>
    </x:xf>
    <x:xf numFmtId="201" fontId="14" fillId="5" borderId="2" xfId="0" applyNumberFormat="1" applyFont="1" applyFill="1" applyBorder="1" applyAlignment="1">
      <x:alignment horizontal="left" vertical="center"/>
    </x:xf>
    <x:xf numFmtId="200" fontId="10" fillId="6" borderId="1" xfId="0" applyNumberFormat="1" applyFont="1" applyFill="1" applyBorder="1" applyAlignment="1">
      <x:alignment horizontal="center" vertical="center" wrapText="1"/>
    </x:xf>
    <x:xf numFmtId="0" fontId="15" fillId="7" borderId="1" xfId="0" applyNumberFormat="1" applyFont="1" applyFill="1" applyBorder="1" applyAlignment="1">
      <x:alignment horizontal="left" vertical="center"/>
    </x:xf>
    <x:xf numFmtId="0" fontId="15" fillId="4" borderId="1" xfId="0" applyNumberFormat="1" applyFont="1" applyFill="1" applyBorder="1" applyAlignment="1">
      <x:alignment horizontal="left" vertical="center"/>
    </x:xf>
    <x:xf numFmtId="0" fontId="11" fillId="7" borderId="1" xfId="0" applyNumberFormat="1" applyFont="1" applyFill="1" applyBorder="1" applyAlignment="1">
      <x:alignment horizontal="left" vertical="center" wrapText="1"/>
    </x:xf>
    <x:xf numFmtId="0" fontId="11" fillId="7" borderId="1" xfId="0" applyNumberFormat="1" applyFont="1" applyFill="1" applyBorder="1" applyAlignment="1">
      <x:alignment horizontal="center" vertical="center" wrapText="1"/>
    </x:xf>
    <x:xf numFmtId="0" fontId="11" fillId="4" borderId="1" xfId="0" applyNumberFormat="1" applyFont="1" applyFill="1" applyBorder="1" applyAlignment="1">
      <x:alignment horizontal="left" vertical="center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12" fillId="3" borderId="6" xfId="0" applyNumberFormat="1" applyFont="1" applyFill="1" applyBorder="1" applyAlignment="1">
      <x:alignment horizontal="left" vertical="center" wrapText="1"/>
    </x:xf>
    <x:xf numFmtId="0" fontId="12" fillId="3" borderId="7" xfId="0" applyNumberFormat="1" applyFont="1" applyFill="1" applyBorder="1" applyAlignment="1">
      <x:alignment horizontal="left" vertical="center" wrapText="1"/>
    </x:xf>
    <x:xf numFmtId="0" fontId="12" fillId="3" borderId="8" xfId="0" applyNumberFormat="1" applyFont="1" applyFill="1" applyBorder="1" applyAlignment="1">
      <x:alignment horizontal="left" vertical="center" wrapText="1"/>
    </x:xf>
    <x:xf numFmtId="0" fontId="12" fillId="3" borderId="9" xfId="0" applyNumberFormat="1" applyFont="1" applyFill="1" applyBorder="1" applyAlignment="1">
      <x:alignment horizontal="left" vertical="center" wrapText="1"/>
    </x:xf>
    <x:xf numFmtId="0" fontId="12" fillId="3" borderId="10" xfId="0" applyNumberFormat="1" applyFont="1" applyFill="1" applyBorder="1" applyAlignment="1">
      <x:alignment horizontal="left" vertical="center" wrapText="1"/>
    </x:xf>
    <x:xf numFmtId="0" fontId="12" fillId="3" borderId="1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19">
    <x:dxf>
      <x:fill>
        <x:patternFill>
          <x:bgColor rgb="FFA977F6"/>
        </x:patternFill>
      </x:fill>
    </x:dxf>
    <x:dxf>
      <x:fill>
        <x:patternFill>
          <x:bgColor rgb="FFFF6675"/>
        </x:patternFill>
      </x:fill>
    </x:dxf>
    <x:dxf>
      <x:fill>
        <x:patternFill>
          <x:bgColor rgb="FF4D7CFE"/>
        </x:patternFill>
      </x:fill>
    </x:dxf>
    <x:dxf>
      <x:fill>
        <x:patternFill>
          <x:bgColor rgb="FF00BFA6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b/>
        <x:color rgb="FF3258CD"/>
      </x:font>
      <x:fill>
        <x:patternFill>
          <x:bgColor rgb="FFE7EEFF"/>
        </x:patternFill>
      </x:fill>
    </x:dxf>
    <x:dxf>
      <x:font>
        <x:b/>
        <x:color rgb="FF087E5D"/>
      </x:font>
      <x:fill>
        <x:patternFill>
          <x:bgColor rgb="FFDDF8F3"/>
        </x:patternFill>
      </x:fill>
    </x:dxf>
    <x:dxf>
      <x:font>
        <x:color rgb="FF087F5B"/>
      </x:font>
      <x:fill>
        <x:patternFill patternType="solid">
          <x:bgColor rgb="FFDDF7EC"/>
        </x:patternFill>
      </x:fill>
    </x:dxf>
    <x:dxf>
      <x:font>
        <x:color rgb="FF315FD5"/>
      </x:font>
      <x:fill>
        <x:patternFill patternType="solid">
          <x:bgColor rgb="FFE7EEFF"/>
        </x:patternFill>
      </x:fill>
    </x:dxf>
    <x:dxf>
      <x:font>
        <x:color rgb="FFD6334C"/>
      </x:font>
      <x:fill>
        <x:patternFill patternType="solid">
          <x:bgColor rgb="FFFFE3E8"/>
        </x:patternFill>
      </x:fill>
    </x:dxf>
    <x:dxf>
      <x:font>
        <x:color rgb="FF7048C8"/>
      </x:font>
      <x:fill>
        <x:patternFill patternType="solid">
          <x:bgColor rgb="FFF0E7FF"/>
        </x:patternFill>
      </x:fill>
    </x:dxf>
    <x:dxf>
      <x:fill>
        <x:patternFill patternType="solid">
          <x:bgColor rgb="FF10BFA4"/>
        </x:patternFill>
      </x:fill>
    </x:dxf>
    <x:dxf>
      <x:fill>
        <x:patternFill patternType="solid">
          <x:bgColor rgb="FF4C78F5"/>
        </x:patternFill>
      </x:fill>
    </x:dxf>
    <x:dxf>
      <x:fill>
        <x:patternFill patternType="solid">
          <x:bgColor rgb="FFFF5D73"/>
        </x:patternFill>
      </x:fill>
    </x:dxf>
    <x:dxf>
      <x:fill>
        <x:patternFill patternType="solid">
          <x:bgColor rgb="FF9B6B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0fdc54203427a" /><Relationship Type="http://schemas.openxmlformats.org/officeDocument/2006/relationships/theme" Target="/xl/theme/theme1.xml" Id="Rc2c179610a1a49f7" /><Relationship Type="http://schemas.openxmlformats.org/officeDocument/2006/relationships/sharedStrings" Target="/xl/sharedStrings.xml" Id="Re4104ac965bf4936" /><Relationship Type="http://schemas.openxmlformats.org/officeDocument/2006/relationships/worksheet" Target="/xl/worksheets/sheet1.xml" Id="R492f74da4d38480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14" customWidth="1"/>
    <x:col min="2" max="2" width="18" style="14" hidden="0" customWidth="1"/>
    <x:col min="3" max="3" width="44" style="14" hidden="0" customWidth="1"/>
    <x:col min="4" max="4" width="22" style="14" hidden="0" customWidth="1"/>
    <x:col min="5" max="5" width="15" style="14" customWidth="1"/>
    <x:col min="6" max="6" width="10" style="14" customWidth="1"/>
    <x:col min="7" max="8" width="13" style="14" customWidth="1"/>
    <x:col min="9" max="9" width="10" style="14" customWidth="1"/>
    <x:col min="10" max="10" width="3" style="14" customWidth="1"/>
    <x:col min="11" max="30" width="10" style="14" customWidth="1"/>
    <x:col min="31" max="16384" width="8.83203125" style="14" customWidth="0"/>
  </x:cols>
  <x:sheetData>
    <x:row r="2" ht="32" customHeight="1">
      <x:c r="B2" s="19" t="str">
        <x:v>Tracker maestro · Sistema institucional LDSM · implementación y aceptación</x:v>
      </x:c>
      <x:c r="C2" s="19" t="str">
        <x:v>Tracker maestro · Sistema institucional LDSM · implementación y aceptación</x:v>
      </x:c>
      <x:c r="D2" s="19" t="str">
        <x:v>Tracker maestro · Sistema institucional LDSM · implementación y aceptación</x:v>
      </x:c>
      <x:c r="E2" s="19" t="str">
        <x:v>Tracker maestro · Sistema institucional LDSM · implementación y aceptación</x:v>
      </x:c>
      <x:c r="F2" s="19" t="str">
        <x:v>Tracker maestro · Sistema institucional LDSM · implementación y aceptación</x:v>
      </x:c>
      <x:c r="G2" s="19" t="str">
        <x:v>Tracker maestro · Sistema institucional LDSM · implementación y aceptación</x:v>
      </x:c>
      <x:c r="H2" s="19" t="str">
        <x:v>Tracker maestro · Sistema institucional LDSM · implementación y aceptación</x:v>
      </x:c>
      <x:c r="I2" s="19" t="str">
        <x:v>Tracker maestro · Sistema institucional LDSM · implementación y aceptación</x:v>
      </x:c>
      <x:c r="J2" s="19" t="str">
        <x:v>Tracker maestro · Sistema institucional LDSM · implementación y aceptación</x:v>
      </x:c>
      <x:c r="K2" s="19" t="str">
        <x:v>Tracker maestro · Sistema institucional LDSM · implementación y aceptación</x:v>
      </x:c>
      <x:c r="L2" s="19" t="str">
        <x:v>Tracker maestro · Sistema institucional LDSM · implementación y aceptación</x:v>
      </x:c>
      <x:c r="M2" s="19" t="str">
        <x:v>Tracker maestro · Sistema institucional LDSM · implementación y aceptación</x:v>
      </x:c>
      <x:c r="N2" s="19" t="str">
        <x:v>Tracker maestro · Sistema institucional LDSM · implementación y aceptación</x:v>
      </x:c>
      <x:c r="O2" s="19" t="str">
        <x:v>Tracker maestro · Sistema institucional LDSM · implementación y aceptación</x:v>
      </x:c>
      <x:c r="P2" s="19" t="str">
        <x:v>Tracker maestro · Sistema institucional LDSM · implementación y aceptación</x:v>
      </x:c>
      <x:c r="Q2" s="19" t="str">
        <x:v>Tracker maestro · Sistema institucional LDSM · implementación y aceptación</x:v>
      </x:c>
      <x:c r="R2" s="19" t="str">
        <x:v>Tracker maestro · Sistema institucional LDSM · implementación y aceptación</x:v>
      </x:c>
      <x:c r="S2" s="20" t="str">
        <x:v>Tracker maestro · Sistema institucional LDSM · implementación y aceptación</x:v>
      </x:c>
      <x:c r="T2" s="20" t="str">
        <x:v>Tracker maestro · Sistema institucional LDSM · implementación y aceptación</x:v>
      </x:c>
      <x:c r="U2" s="20" t="str">
        <x:v>Tracker maestro · Sistema institucional LDSM · implementación y aceptación</x:v>
      </x:c>
      <x:c r="V2" s="20" t="str">
        <x:v>Tracker maestro · Sistema institucional LDSM · implementación y aceptación</x:v>
      </x:c>
      <x:c r="W2" s="20" t="str">
        <x:v>Tracker maestro · Sistema institucional LDSM · implementación y aceptación</x:v>
      </x:c>
      <x:c r="X2" s="20" t="str">
        <x:v>Tracker maestro · Sistema institucional LDSM · implementación y aceptación</x:v>
      </x:c>
      <x:c r="Y2" s="20" t="str">
        <x:v>Tracker maestro · Sistema institucional LDSM · implementación y aceptación</x:v>
      </x:c>
      <x:c r="Z2" s="20" t="str">
        <x:v>Tracker maestro · Sistema institucional LDSM · implementación y aceptación</x:v>
      </x:c>
      <x:c r="AA2" s="20" t="str">
        <x:v>Tracker maestro · Sistema institucional LDSM · implementación y aceptación</x:v>
      </x:c>
      <x:c r="AB2" s="20" t="str">
        <x:v>Tracker maestro · Sistema institucional LDSM · implementación y aceptación</x:v>
      </x:c>
      <x:c r="AC2" s="20" t="str">
        <x:v>Tracker maestro · Sistema institucional LDSM · implementación y aceptación</x:v>
      </x:c>
      <x:c r="AD2" s="20" t="str">
        <x:v>Tracker maestro · Sistema institucional LDSM · implementación y aceptación</x:v>
      </x:c>
    </x:row>
    <x:row r="3"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  <x:c r="AA3" s="15"/>
      <x:c r="AB3" s="15"/>
      <x:c r="AC3" s="15"/>
      <x:c r="AD3" s="15"/>
    </x:row>
    <x:row r="4" ht="22" customHeight="1">
      <x:c r="B4" s="21" t="str">
        <x:v>PERFIL DEL PROYECTO</x:v>
      </x:c>
      <x:c r="C4" s="21" t="str">
        <x:v>PERFIL DEL PROYECTO</x:v>
      </x:c>
      <x:c r="D4" s="21" t="str">
        <x:v>PERFIL DEL PROYECTO</x:v>
      </x:c>
      <x:c r="E4" s="21" t="str">
        <x:v>PERFIL DEL PROYECTO</x:v>
      </x:c>
      <x:c r="F4" s="21" t="str">
        <x:v>PERFIL DEL PROYECTO</x:v>
      </x:c>
      <x:c r="G4" s="21" t="str">
        <x:v>PERFIL DEL PROYECTO</x:v>
      </x:c>
      <x:c r="H4" s="21" t="str">
        <x:v>PERFIL DEL PROYECTO</x:v>
      </x:c>
      <x:c r="I4" s="21" t="str">
        <x:v>PERFIL DEL PROYECTO</x:v>
      </x:c>
      <x:c r="J4" s="15"/>
      <x:c r="K4" s="21" t="str">
        <x:v>PULSO DE IMPLEMENTACIÓN</x:v>
      </x:c>
      <x:c r="L4" s="21" t="str">
        <x:v>PULSO DE IMPLEMENTACIÓN</x:v>
      </x:c>
      <x:c r="M4" s="21" t="str">
        <x:v>PULSO DE IMPLEMENTACIÓN</x:v>
      </x:c>
      <x:c r="N4" s="21" t="str">
        <x:v>PULSO DE IMPLEMENTACIÓN</x:v>
      </x:c>
      <x:c r="O4" s="21" t="str">
        <x:v>PULSO DE IMPLEMENTACIÓN</x:v>
      </x:c>
      <x:c r="P4" s="21" t="str">
        <x:v>PULSO DE IMPLEMENTACIÓN</x:v>
      </x:c>
      <x:c r="Q4" s="21" t="str">
        <x:v>PULSO DE IMPLEMENTACIÓN</x:v>
      </x:c>
      <x:c r="R4" s="21" t="str">
        <x:v>PULSO DE IMPLEMENTACIÓN</x:v>
      </x:c>
      <x:c r="S4" s="21" t="str">
        <x:v>PULSO DE IMPLEMENTACIÓN</x:v>
      </x:c>
      <x:c r="T4" s="21" t="str">
        <x:v>PULSO DE IMPLEMENTACIÓN</x:v>
      </x:c>
      <x:c r="U4" s="21" t="str">
        <x:v>PULSO DE IMPLEMENTACIÓN</x:v>
      </x:c>
      <x:c r="V4" s="21" t="str">
        <x:v>PULSO DE IMPLEMENTACIÓN</x:v>
      </x:c>
      <x:c r="W4" s="21" t="str">
        <x:v>PULSO DE IMPLEMENTACIÓN</x:v>
      </x:c>
      <x:c r="X4" s="21" t="str">
        <x:v>PULSO DE IMPLEMENTACIÓN</x:v>
      </x:c>
      <x:c r="Y4" s="21" t="str">
        <x:v>PULSO DE IMPLEMENTACIÓN</x:v>
      </x:c>
      <x:c r="Z4" s="21" t="str">
        <x:v>PULSO DE IMPLEMENTACIÓN</x:v>
      </x:c>
      <x:c r="AA4" s="21" t="str">
        <x:v>PULSO DE IMPLEMENTACIÓN</x:v>
      </x:c>
      <x:c r="AB4" s="21" t="str">
        <x:v>PULSO DE IMPLEMENTACIÓN</x:v>
      </x:c>
      <x:c r="AC4" s="21" t="str">
        <x:v>PULSO DE IMPLEMENTACIÓN</x:v>
      </x:c>
      <x:c r="AD4" s="21" t="str">
        <x:v>PULSO DE IMPLEMENTACIÓN</x:v>
      </x:c>
    </x:row>
    <x:row r="5" ht="22" customHeight="1">
      <x:c r="B5" s="18" t="str">
        <x:v>Proyecto</x:v>
      </x:c>
      <x:c r="C5" s="22" t="str">
        <x:v>Puntualidad, identidad, visitas y retiros LDSM</x:v>
      </x:c>
      <x:c r="D5" s="22" t="str">
        <x:v>Puntualidad, identidad, visitas y retiros LDSM</x:v>
      </x:c>
      <x:c r="E5" s="22" t="str">
        <x:v>Puntualidad, identidad, visitas y retiros LDSM</x:v>
      </x:c>
      <x:c r="F5" s="27" t="str">
        <x:v>Responsables</x:v>
      </x:c>
      <x:c r="G5" s="28" t="str">
        <x:v>Responsables</x:v>
      </x:c>
      <x:c r="H5" s="23" t="str">
        <x:v>Lucas / Codex / LDSM</x:v>
      </x:c>
      <x:c r="I5" s="23" t="str">
        <x:v>Lucas / Codex / LDSM</x:v>
      </x:c>
      <x:c r="J5" s="15"/>
      <x:c r="K5" s="24" t="str">
        <x:v>TAREAS TOTALES</x:v>
      </x:c>
      <x:c r="L5" s="25" t="str">
        <x:v>TAREAS TOTALES</x:v>
      </x:c>
      <x:c r="M5" s="25" t="str">
        <x:v>TAREAS TOTALES</x:v>
      </x:c>
      <x:c r="N5" s="26" t="str">
        <x:v>TAREAS TOTALES</x:v>
      </x:c>
      <x:c r="O5" s="24" t="str">
        <x:v>COMPLETADAS</x:v>
      </x:c>
      <x:c r="P5" s="25" t="str">
        <x:v>COMPLETADAS</x:v>
      </x:c>
      <x:c r="Q5" s="25" t="str">
        <x:v>COMPLETADAS</x:v>
      </x:c>
      <x:c r="R5" s="26" t="str">
        <x:v>COMPLETADAS</x:v>
      </x:c>
      <x:c r="S5" s="24" t="str">
        <x:v>EN CURSO</x:v>
      </x:c>
      <x:c r="T5" s="25" t="str">
        <x:v>EN CURSO</x:v>
      </x:c>
      <x:c r="U5" s="25" t="str">
        <x:v>EN CURSO</x:v>
      </x:c>
      <x:c r="V5" s="26" t="str">
        <x:v>EN CURSO</x:v>
      </x:c>
      <x:c r="W5" s="24" t="str">
        <x:v>EN RIESGO</x:v>
      </x:c>
      <x:c r="X5" s="25" t="str">
        <x:v>EN RIESGO</x:v>
      </x:c>
      <x:c r="Y5" s="25" t="str">
        <x:v>EN RIESGO</x:v>
      </x:c>
      <x:c r="Z5" s="26" t="str">
        <x:v>EN RIESGO</x:v>
      </x:c>
      <x:c r="AA5" s="24" t="str">
        <x:v>TAREAS P0</x:v>
      </x:c>
      <x:c r="AB5" s="25" t="str">
        <x:v>TAREAS P0</x:v>
      </x:c>
      <x:c r="AC5" s="25" t="str">
        <x:v>TAREAS P0</x:v>
      </x:c>
      <x:c r="AD5" s="26" t="str">
        <x:v>TAREAS P0</x:v>
      </x:c>
    </x:row>
    <x:row r="6" ht="22" customHeight="1">
      <x:c r="B6" s="18" t="str">
        <x:v>Institución</x:v>
      </x:c>
      <x:c r="C6" s="23" t="str">
        <x:v>Liceo Domingo Santa María</x:v>
      </x:c>
      <x:c r="D6" s="23" t="str">
        <x:v>Liceo Domingo Santa María</x:v>
      </x:c>
      <x:c r="E6" s="23" t="str">
        <x:v>Liceo Domingo Santa María</x:v>
      </x:c>
      <x:c r="F6" s="27" t="str">
        <x:v>Actualizado</x:v>
      </x:c>
      <x:c r="G6" s="28" t="str">
        <x:v>Actualizado</x:v>
      </x:c>
      <x:c r="H6" s="52" t="n">
        <x:v>46235</x:v>
      </x:c>
      <x:c r="I6" s="52" t="n">
        <x:v>46235</x:v>
      </x:c>
      <x:c r="J6" s="15"/>
      <x:c r="K6" s="42" t="n">
        <x:f>COUNTA($C$10:$C$39)</x:f>
        <x:v>30</x:v>
      </x:c>
      <x:c r="L6" s="43"/>
      <x:c r="M6" s="43"/>
      <x:c r="N6" s="44"/>
      <x:c r="O6" s="45" t="n">
        <x:f>COUNTIF($E$10:$E$39,"Completada")</x:f>
        <x:v>24</x:v>
      </x:c>
      <x:c r="P6" s="46"/>
      <x:c r="Q6" s="46"/>
      <x:c r="R6" s="47"/>
      <x:c r="S6" s="35" t="n">
        <x:f>COUNTIF($E$10:$E$39,"En curso")</x:f>
        <x:v>0</x:v>
      </x:c>
      <x:c r="T6" s="36"/>
      <x:c r="U6" s="36"/>
      <x:c r="V6" s="37"/>
      <x:c r="W6" s="38" t="n">
        <x:f>COUNTIF($E$10:$E$39,"En riesgo")</x:f>
        <x:v>0</x:v>
      </x:c>
      <x:c r="X6" s="39"/>
      <x:c r="Y6" s="39"/>
      <x:c r="Z6" s="40"/>
      <x:c r="AA6" s="38" t="n">
        <x:f>COUNTIF($F$10:$F$39,"P0")</x:f>
        <x:v>23</x:v>
      </x:c>
      <x:c r="AB6" s="39"/>
      <x:c r="AC6" s="39"/>
      <x:c r="AD6" s="40"/>
    </x:row>
    <x:row r="7"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  <x:c r="AA7" s="15"/>
      <x:c r="AB7" s="15"/>
      <x:c r="AC7" s="15"/>
      <x:c r="AD7" s="15"/>
    </x:row>
    <x:row r="8" ht="22" customHeight="1">
      <x:c r="B8" s="21" t="str">
        <x:v>PLAN DE TRABAJO</x:v>
      </x:c>
      <x:c r="C8" s="21" t="str">
        <x:v>PLAN DE TRABAJO</x:v>
      </x:c>
      <x:c r="D8" s="21" t="str">
        <x:v>PLAN DE TRABAJO</x:v>
      </x:c>
      <x:c r="E8" s="21" t="str">
        <x:v>PLAN DE TRABAJO</x:v>
      </x:c>
      <x:c r="F8" s="21" t="str">
        <x:v>PLAN DE TRABAJO</x:v>
      </x:c>
      <x:c r="G8" s="21" t="str">
        <x:v>PLAN DE TRABAJO</x:v>
      </x:c>
      <x:c r="H8" s="21" t="str">
        <x:v>PLAN DE TRABAJO</x:v>
      </x:c>
      <x:c r="I8" s="21" t="str">
        <x:v>PLAN DE TRABAJO</x:v>
      </x:c>
      <x:c r="J8" s="15"/>
      <x:c r="K8" s="21" t="str">
        <x:v>GANTT · IMPLEMENTACIÓN LOCAL Y ACEPTACIÓN ESCOLAR</x:v>
      </x:c>
      <x:c r="L8" s="21" t="str">
        <x:v>GANTT · IMPLEMENTACIÓN LOCAL Y ACEPTACIÓN ESCOLAR</x:v>
      </x:c>
      <x:c r="M8" s="21" t="str">
        <x:v>GANTT · IMPLEMENTACIÓN LOCAL Y ACEPTACIÓN ESCOLAR</x:v>
      </x:c>
      <x:c r="N8" s="21" t="str">
        <x:v>GANTT · IMPLEMENTACIÓN LOCAL Y ACEPTACIÓN ESCOLAR</x:v>
      </x:c>
      <x:c r="O8" s="21" t="str">
        <x:v>GANTT · IMPLEMENTACIÓN LOCAL Y ACEPTACIÓN ESCOLAR</x:v>
      </x:c>
      <x:c r="P8" s="21" t="str">
        <x:v>GANTT · IMPLEMENTACIÓN LOCAL Y ACEPTACIÓN ESCOLAR</x:v>
      </x:c>
      <x:c r="Q8" s="21" t="str">
        <x:v>GANTT · IMPLEMENTACIÓN LOCAL Y ACEPTACIÓN ESCOLAR</x:v>
      </x:c>
      <x:c r="R8" s="21" t="str">
        <x:v>GANTT · IMPLEMENTACIÓN LOCAL Y ACEPTACIÓN ESCOLAR</x:v>
      </x:c>
      <x:c r="S8" s="21" t="str">
        <x:v>GANTT · IMPLEMENTACIÓN LOCAL Y ACEPTACIÓN ESCOLAR</x:v>
      </x:c>
      <x:c r="T8" s="21" t="str">
        <x:v>GANTT · IMPLEMENTACIÓN LOCAL Y ACEPTACIÓN ESCOLAR</x:v>
      </x:c>
      <x:c r="U8" s="21" t="str">
        <x:v>GANTT · IMPLEMENTACIÓN LOCAL Y ACEPTACIÓN ESCOLAR</x:v>
      </x:c>
      <x:c r="V8" s="21" t="str">
        <x:v>GANTT · IMPLEMENTACIÓN LOCAL Y ACEPTACIÓN ESCOLAR</x:v>
      </x:c>
      <x:c r="W8" s="21" t="str">
        <x:v>GANTT · IMPLEMENTACIÓN LOCAL Y ACEPTACIÓN ESCOLAR</x:v>
      </x:c>
      <x:c r="X8" s="21" t="str">
        <x:v>GANTT · IMPLEMENTACIÓN LOCAL Y ACEPTACIÓN ESCOLAR</x:v>
      </x:c>
      <x:c r="Y8" s="21" t="str">
        <x:v>GANTT · IMPLEMENTACIÓN LOCAL Y ACEPTACIÓN ESCOLAR</x:v>
      </x:c>
      <x:c r="Z8" s="21" t="str">
        <x:v>GANTT · IMPLEMENTACIÓN LOCAL Y ACEPTACIÓN ESCOLAR</x:v>
      </x:c>
      <x:c r="AA8" s="21" t="str">
        <x:v>GANTT · IMPLEMENTACIÓN LOCAL Y ACEPTACIÓN ESCOLAR</x:v>
      </x:c>
      <x:c r="AB8" s="21" t="str">
        <x:v>GANTT · IMPLEMENTACIÓN LOCAL Y ACEPTACIÓN ESCOLAR</x:v>
      </x:c>
      <x:c r="AC8" s="21" t="str">
        <x:v>GANTT · IMPLEMENTACIÓN LOCAL Y ACEPTACIÓN ESCOLAR</x:v>
      </x:c>
      <x:c r="AD8" s="21" t="str">
        <x:v>GANTT · IMPLEMENTACIÓN LOCAL Y ACEPTACIÓN ESCOLAR</x:v>
      </x:c>
    </x:row>
    <x:row r="9" ht="28" customHeight="1">
      <x:c r="B9" s="1" t="str">
        <x:v>Bloque</x:v>
      </x:c>
      <x:c r="C9" s="1" t="str">
        <x:v>Tarea</x:v>
      </x:c>
      <x:c r="D9" s="1" t="str">
        <x:v>Responsable</x:v>
      </x:c>
      <x:c r="E9" s="1" t="str">
        <x:v>Estado</x:v>
      </x:c>
      <x:c r="F9" s="1" t="str">
        <x:v>Prioridad</x:v>
      </x:c>
      <x:c r="G9" s="1" t="str">
        <x:v>Inicio</x:v>
      </x:c>
      <x:c r="H9" s="1" t="str">
        <x:v>Fin</x:v>
      </x:c>
      <x:c r="I9" s="1" t="str">
        <x:v>Días</x:v>
      </x:c>
      <x:c r="J9" s="15"/>
      <x:c r="K9" s="53" t="n">
        <x:v>46231</x:v>
      </x:c>
      <x:c r="L9" s="53" t="n">
        <x:f t="shared" ref="L9:AD9" si="0">K9+7</x:f>
        <x:v>46238</x:v>
      </x:c>
      <x:c r="M9" s="53" t="n">
        <x:f t="shared" si="0">L9+7</x:f>
        <x:v>46245</x:v>
      </x:c>
      <x:c r="N9" s="53" t="n">
        <x:f t="shared" si="0">M9+7</x:f>
        <x:v>46252</x:v>
      </x:c>
      <x:c r="O9" s="53" t="n">
        <x:f t="shared" si="0">N9+7</x:f>
        <x:v>46259</x:v>
      </x:c>
      <x:c r="P9" s="53" t="n">
        <x:f t="shared" si="0">O9+7</x:f>
        <x:v>46266</x:v>
      </x:c>
      <x:c r="Q9" s="53" t="n">
        <x:f t="shared" si="0">P9+7</x:f>
        <x:v>46273</x:v>
      </x:c>
      <x:c r="R9" s="53" t="n">
        <x:f t="shared" si="0">Q9+7</x:f>
        <x:v>46280</x:v>
      </x:c>
      <x:c r="S9" s="53" t="n">
        <x:f t="shared" si="0">R9+7</x:f>
        <x:v>46287</x:v>
      </x:c>
      <x:c r="T9" s="53" t="n">
        <x:f t="shared" si="0">S9+7</x:f>
        <x:v>46294</x:v>
      </x:c>
      <x:c r="U9" s="53" t="n">
        <x:f t="shared" si="0">T9+7</x:f>
        <x:v>46301</x:v>
      </x:c>
      <x:c r="V9" s="53" t="n">
        <x:f t="shared" si="0">U9+7</x:f>
        <x:v>46308</x:v>
      </x:c>
      <x:c r="W9" s="53" t="n">
        <x:f t="shared" si="0">V9+7</x:f>
        <x:v>46315</x:v>
      </x:c>
      <x:c r="X9" s="53" t="n">
        <x:f t="shared" si="0">W9+7</x:f>
        <x:v>46322</x:v>
      </x:c>
      <x:c r="Y9" s="53" t="n">
        <x:f t="shared" si="0">X9+7</x:f>
        <x:v>46329</x:v>
      </x:c>
      <x:c r="Z9" s="53" t="n">
        <x:f t="shared" si="0">Y9+7</x:f>
        <x:v>46336</x:v>
      </x:c>
      <x:c r="AA9" s="53" t="n">
        <x:f t="shared" si="0">Z9+7</x:f>
        <x:v>46343</x:v>
      </x:c>
      <x:c r="AB9" s="53" t="n">
        <x:f t="shared" si="0">AA9+7</x:f>
        <x:v>46350</x:v>
      </x:c>
      <x:c r="AC9" s="53" t="n">
        <x:f t="shared" si="0">AB9+7</x:f>
        <x:v>46357</x:v>
      </x:c>
      <x:c r="AD9" s="53" t="n">
        <x:f t="shared" si="0">AC9+7</x:f>
        <x:v>46364</x:v>
      </x:c>
    </x:row>
    <x:row r="10" ht="24" customHeight="1">
      <x:c r="B10" s="54" t="str">
        <x:v>Gobernanza ERP</x:v>
      </x:c>
      <x:c r="C10" s="56" t="str">
        <x:v>Mantener inalterable el contrato del Excel ERP</x:v>
      </x:c>
      <x:c r="D10" s="57" t="str">
        <x:v>Codex</x:v>
      </x:c>
      <x:c r="E10" s="7" t="str">
        <x:v>Completada</x:v>
      </x:c>
      <x:c r="F10" s="7" t="str">
        <x:v>P0</x:v>
      </x:c>
      <x:c r="G10" s="48" t="n">
        <x:v>46232</x:v>
      </x:c>
      <x:c r="H10" s="48" t="n">
        <x:v>46232</x:v>
      </x:c>
      <x:c r="I10" s="11" t="n">
        <x:f t="shared" ref="I10:I39" si="1">IF(OR(G10="",H10="",H10&lt;G10),"",H10-G10+1)</x:f>
        <x:v>1</x:v>
      </x:c>
      <x:c r="J10" s="15"/>
      <x:c r="K10" s="12" t="n">
        <x:f t="shared" ref="K10:T19" si="2">IF(OR($G10="",$H10="",$H10&lt;$G10),"",IF(AND(K$9&lt;=$H10,K$9+6&gt;=$G10),1,""))</x:f>
        <x:v>1</x:v>
      </x:c>
      <x:c r="L10" s="13" t="str">
        <x:f t="shared" si="2">IF(OR($G10="",$H10="",$H10&lt;$G10),"",IF(AND(L$9&lt;=$H10,L$9+6&gt;=$G10),1,""))</x:f>
      </x:c>
      <x:c r="M10" s="12" t="str">
        <x:f t="shared" si="2">IF(OR($G10="",$H10="",$H10&lt;$G10),"",IF(AND(M$9&lt;=$H10,M$9+6&gt;=$G10),1,""))</x:f>
      </x:c>
      <x:c r="N10" s="13" t="str">
        <x:f t="shared" si="2">IF(OR($G10="",$H10="",$H10&lt;$G10),"",IF(AND(N$9&lt;=$H10,N$9+6&gt;=$G10),1,""))</x:f>
      </x:c>
      <x:c r="O10" s="12" t="str">
        <x:f t="shared" si="2">IF(OR($G10="",$H10="",$H10&lt;$G10),"",IF(AND(O$9&lt;=$H10,O$9+6&gt;=$G10),1,""))</x:f>
      </x:c>
      <x:c r="P10" s="13" t="str">
        <x:f t="shared" si="2">IF(OR($G10="",$H10="",$H10&lt;$G10),"",IF(AND(P$9&lt;=$H10,P$9+6&gt;=$G10),1,""))</x:f>
      </x:c>
      <x:c r="Q10" s="12" t="str">
        <x:f t="shared" si="2">IF(OR($G10="",$H10="",$H10&lt;$G10),"",IF(AND(Q$9&lt;=$H10,Q$9+6&gt;=$G10),1,""))</x:f>
      </x:c>
      <x:c r="R10" s="13" t="str">
        <x:f t="shared" si="2">IF(OR($G10="",$H10="",$H10&lt;$G10),"",IF(AND(R$9&lt;=$H10,R$9+6&gt;=$G10),1,""))</x:f>
      </x:c>
      <x:c r="S10" s="12" t="str">
        <x:f t="shared" si="2">IF(OR($G10="",$H10="",$H10&lt;$G10),"",IF(AND(S$9&lt;=$H10,S$9+6&gt;=$G10),1,""))</x:f>
      </x:c>
      <x:c r="T10" s="13" t="str">
        <x:f t="shared" si="2">IF(OR($G10="",$H10="",$H10&lt;$G10),"",IF(AND(T$9&lt;=$H10,T$9+6&gt;=$G10),1,""))</x:f>
      </x:c>
      <x:c r="U10" s="12" t="str">
        <x:f t="shared" ref="U10:AD19" si="3">IF(OR($G10="",$H10="",$H10&lt;$G10),"",IF(AND(U$9&lt;=$H10,U$9+6&gt;=$G10),1,""))</x:f>
      </x:c>
      <x:c r="V10" s="13" t="str">
        <x:f t="shared" si="3">IF(OR($G10="",$H10="",$H10&lt;$G10),"",IF(AND(V$9&lt;=$H10,V$9+6&gt;=$G10),1,""))</x:f>
      </x:c>
      <x:c r="W10" s="12" t="str">
        <x:f t="shared" si="3">IF(OR($G10="",$H10="",$H10&lt;$G10),"",IF(AND(W$9&lt;=$H10,W$9+6&gt;=$G10),1,""))</x:f>
      </x:c>
      <x:c r="X10" s="13" t="str">
        <x:f t="shared" si="3">IF(OR($G10="",$H10="",$H10&lt;$G10),"",IF(AND(X$9&lt;=$H10,X$9+6&gt;=$G10),1,""))</x:f>
      </x:c>
      <x:c r="Y10" s="12" t="str">
        <x:f t="shared" si="3">IF(OR($G10="",$H10="",$H10&lt;$G10),"",IF(AND(Y$9&lt;=$H10,Y$9+6&gt;=$G10),1,""))</x:f>
      </x:c>
      <x:c r="Z10" s="13" t="str">
        <x:f t="shared" si="3">IF(OR($G10="",$H10="",$H10&lt;$G10),"",IF(AND(Z$9&lt;=$H10,Z$9+6&gt;=$G10),1,""))</x:f>
      </x:c>
      <x:c r="AA10" s="12" t="str">
        <x:f t="shared" si="3">IF(OR($G10="",$H10="",$H10&lt;$G10),"",IF(AND(AA$9&lt;=$H10,AA$9+6&gt;=$G10),1,""))</x:f>
      </x:c>
      <x:c r="AB10" s="13" t="str">
        <x:f t="shared" si="3">IF(OR($G10="",$H10="",$H10&lt;$G10),"",IF(AND(AB$9&lt;=$H10,AB$9+6&gt;=$G10),1,""))</x:f>
      </x:c>
      <x:c r="AC10" s="12" t="str">
        <x:f t="shared" si="3">IF(OR($G10="",$H10="",$H10&lt;$G10),"",IF(AND(AC$9&lt;=$H10,AC$9+6&gt;=$G10),1,""))</x:f>
      </x:c>
      <x:c r="AD10" s="13" t="str">
        <x:f t="shared" si="3">IF(OR($G10="",$H10="",$H10&lt;$G10),"",IF(AND(AD$9&lt;=$H10,AD$9+6&gt;=$G10),1,""))</x:f>
      </x:c>
    </x:row>
    <x:row r="11" ht="24" customHeight="1">
      <x:c r="B11" s="55" t="str">
        <x:v>Gobernanza ERP</x:v>
      </x:c>
      <x:c r="C11" s="58" t="str">
        <x:v>Regresión oficial: 392 preparadas y 0 rechazadas</x:v>
      </x:c>
      <x:c r="D11" s="59" t="str">
        <x:v>Codex</x:v>
      </x:c>
      <x:c r="E11" s="8" t="str">
        <x:v>Completada</x:v>
      </x:c>
      <x:c r="F11" s="8" t="str">
        <x:v>P0</x:v>
      </x:c>
      <x:c r="G11" s="49" t="n">
        <x:v>46232</x:v>
      </x:c>
      <x:c r="H11" s="49" t="n">
        <x:v>46233</x:v>
      </x:c>
      <x:c r="I11" s="11" t="n">
        <x:f t="shared" si="1">IF(OR(G11="",H11="",H11&lt;G11),"",H11-G11+1)</x:f>
        <x:v>2</x:v>
      </x:c>
      <x:c r="J11" s="15"/>
      <x:c r="K11" s="12" t="n">
        <x:f t="shared" si="2">IF(OR($G11="",$H11="",$H11&lt;$G11),"",IF(AND(K$9&lt;=$H11,K$9+6&gt;=$G11),1,""))</x:f>
        <x:v>1</x:v>
      </x:c>
      <x:c r="L11" s="13" t="str">
        <x:f t="shared" si="2">IF(OR($G11="",$H11="",$H11&lt;$G11),"",IF(AND(L$9&lt;=$H11,L$9+6&gt;=$G11),1,""))</x:f>
      </x:c>
      <x:c r="M11" s="12" t="str">
        <x:f t="shared" si="2">IF(OR($G11="",$H11="",$H11&lt;$G11),"",IF(AND(M$9&lt;=$H11,M$9+6&gt;=$G11),1,""))</x:f>
      </x:c>
      <x:c r="N11" s="13" t="str">
        <x:f t="shared" si="2">IF(OR($G11="",$H11="",$H11&lt;$G11),"",IF(AND(N$9&lt;=$H11,N$9+6&gt;=$G11),1,""))</x:f>
      </x:c>
      <x:c r="O11" s="12" t="str">
        <x:f t="shared" si="2">IF(OR($G11="",$H11="",$H11&lt;$G11),"",IF(AND(O$9&lt;=$H11,O$9+6&gt;=$G11),1,""))</x:f>
      </x:c>
      <x:c r="P11" s="13" t="str">
        <x:f t="shared" si="2">IF(OR($G11="",$H11="",$H11&lt;$G11),"",IF(AND(P$9&lt;=$H11,P$9+6&gt;=$G11),1,""))</x:f>
      </x:c>
      <x:c r="Q11" s="12" t="str">
        <x:f t="shared" si="2">IF(OR($G11="",$H11="",$H11&lt;$G11),"",IF(AND(Q$9&lt;=$H11,Q$9+6&gt;=$G11),1,""))</x:f>
      </x:c>
      <x:c r="R11" s="13" t="str">
        <x:f t="shared" si="2">IF(OR($G11="",$H11="",$H11&lt;$G11),"",IF(AND(R$9&lt;=$H11,R$9+6&gt;=$G11),1,""))</x:f>
      </x:c>
      <x:c r="S11" s="12" t="str">
        <x:f t="shared" si="2">IF(OR($G11="",$H11="",$H11&lt;$G11),"",IF(AND(S$9&lt;=$H11,S$9+6&gt;=$G11),1,""))</x:f>
      </x:c>
      <x:c r="T11" s="13" t="str">
        <x:f t="shared" si="2">IF(OR($G11="",$H11="",$H11&lt;$G11),"",IF(AND(T$9&lt;=$H11,T$9+6&gt;=$G11),1,""))</x:f>
      </x:c>
      <x:c r="U11" s="12" t="str">
        <x:f t="shared" si="3">IF(OR($G11="",$H11="",$H11&lt;$G11),"",IF(AND(U$9&lt;=$H11,U$9+6&gt;=$G11),1,""))</x:f>
      </x:c>
      <x:c r="V11" s="13" t="str">
        <x:f t="shared" si="3">IF(OR($G11="",$H11="",$H11&lt;$G11),"",IF(AND(V$9&lt;=$H11,V$9+6&gt;=$G11),1,""))</x:f>
      </x:c>
      <x:c r="W11" s="12" t="str">
        <x:f t="shared" si="3">IF(OR($G11="",$H11="",$H11&lt;$G11),"",IF(AND(W$9&lt;=$H11,W$9+6&gt;=$G11),1,""))</x:f>
      </x:c>
      <x:c r="X11" s="13" t="str">
        <x:f t="shared" si="3">IF(OR($G11="",$H11="",$H11&lt;$G11),"",IF(AND(X$9&lt;=$H11,X$9+6&gt;=$G11),1,""))</x:f>
      </x:c>
      <x:c r="Y11" s="12" t="str">
        <x:f t="shared" si="3">IF(OR($G11="",$H11="",$H11&lt;$G11),"",IF(AND(Y$9&lt;=$H11,Y$9+6&gt;=$G11),1,""))</x:f>
      </x:c>
      <x:c r="Z11" s="13" t="str">
        <x:f t="shared" si="3">IF(OR($G11="",$H11="",$H11&lt;$G11),"",IF(AND(Z$9&lt;=$H11,Z$9+6&gt;=$G11),1,""))</x:f>
      </x:c>
      <x:c r="AA11" s="12" t="str">
        <x:f t="shared" si="3">IF(OR($G11="",$H11="",$H11&lt;$G11),"",IF(AND(AA$9&lt;=$H11,AA$9+6&gt;=$G11),1,""))</x:f>
      </x:c>
      <x:c r="AB11" s="13" t="str">
        <x:f t="shared" si="3">IF(OR($G11="",$H11="",$H11&lt;$G11),"",IF(AND(AB$9&lt;=$H11,AB$9+6&gt;=$G11),1,""))</x:f>
      </x:c>
      <x:c r="AC11" s="12" t="str">
        <x:f t="shared" si="3">IF(OR($G11="",$H11="",$H11&lt;$G11),"",IF(AND(AC$9&lt;=$H11,AC$9+6&gt;=$G11),1,""))</x:f>
      </x:c>
      <x:c r="AD11" s="13" t="str">
        <x:f t="shared" si="3">IF(OR($G11="",$H11="",$H11&lt;$G11),"",IF(AND(AD$9&lt;=$H11,AD$9+6&gt;=$G11),1,""))</x:f>
      </x:c>
    </x:row>
    <x:row r="12" ht="24" customHeight="1">
      <x:c r="B12" s="54" t="str">
        <x:v>Identidad</x:v>
      </x:c>
      <x:c r="C12" s="56" t="str">
        <x:v>Identificadores múltiples y búsqueda conciliada</x:v>
      </x:c>
      <x:c r="D12" s="57" t="str">
        <x:v>Codex</x:v>
      </x:c>
      <x:c r="E12" s="7" t="str">
        <x:v>Completada</x:v>
      </x:c>
      <x:c r="F12" s="7" t="str">
        <x:v>P0</x:v>
      </x:c>
      <x:c r="G12" s="48" t="n">
        <x:v>46232</x:v>
      </x:c>
      <x:c r="H12" s="48" t="n">
        <x:v>46233</x:v>
      </x:c>
      <x:c r="I12" s="11" t="n">
        <x:f t="shared" si="1">IF(OR(G12="",H12="",H12&lt;G12),"",H12-G12+1)</x:f>
        <x:v>2</x:v>
      </x:c>
      <x:c r="J12" s="15"/>
      <x:c r="K12" s="12" t="n">
        <x:f t="shared" si="2">IF(OR($G12="",$H12="",$H12&lt;$G12),"",IF(AND(K$9&lt;=$H12,K$9+6&gt;=$G12),1,""))</x:f>
        <x:v>1</x:v>
      </x:c>
      <x:c r="L12" s="13" t="str">
        <x:f t="shared" si="2">IF(OR($G12="",$H12="",$H12&lt;$G12),"",IF(AND(L$9&lt;=$H12,L$9+6&gt;=$G12),1,""))</x:f>
      </x:c>
      <x:c r="M12" s="12" t="str">
        <x:f t="shared" si="2">IF(OR($G12="",$H12="",$H12&lt;$G12),"",IF(AND(M$9&lt;=$H12,M$9+6&gt;=$G12),1,""))</x:f>
      </x:c>
      <x:c r="N12" s="13" t="str">
        <x:f t="shared" si="2">IF(OR($G12="",$H12="",$H12&lt;$G12),"",IF(AND(N$9&lt;=$H12,N$9+6&gt;=$G12),1,""))</x:f>
      </x:c>
      <x:c r="O12" s="12" t="str">
        <x:f t="shared" si="2">IF(OR($G12="",$H12="",$H12&lt;$G12),"",IF(AND(O$9&lt;=$H12,O$9+6&gt;=$G12),1,""))</x:f>
      </x:c>
      <x:c r="P12" s="13" t="str">
        <x:f t="shared" si="2">IF(OR($G12="",$H12="",$H12&lt;$G12),"",IF(AND(P$9&lt;=$H12,P$9+6&gt;=$G12),1,""))</x:f>
      </x:c>
      <x:c r="Q12" s="12" t="str">
        <x:f t="shared" si="2">IF(OR($G12="",$H12="",$H12&lt;$G12),"",IF(AND(Q$9&lt;=$H12,Q$9+6&gt;=$G12),1,""))</x:f>
      </x:c>
      <x:c r="R12" s="13" t="str">
        <x:f t="shared" si="2">IF(OR($G12="",$H12="",$H12&lt;$G12),"",IF(AND(R$9&lt;=$H12,R$9+6&gt;=$G12),1,""))</x:f>
      </x:c>
      <x:c r="S12" s="12" t="str">
        <x:f t="shared" si="2">IF(OR($G12="",$H12="",$H12&lt;$G12),"",IF(AND(S$9&lt;=$H12,S$9+6&gt;=$G12),1,""))</x:f>
      </x:c>
      <x:c r="T12" s="13" t="str">
        <x:f t="shared" si="2">IF(OR($G12="",$H12="",$H12&lt;$G12),"",IF(AND(T$9&lt;=$H12,T$9+6&gt;=$G12),1,""))</x:f>
      </x:c>
      <x:c r="U12" s="12" t="str">
        <x:f t="shared" si="3">IF(OR($G12="",$H12="",$H12&lt;$G12),"",IF(AND(U$9&lt;=$H12,U$9+6&gt;=$G12),1,""))</x:f>
      </x:c>
      <x:c r="V12" s="13" t="str">
        <x:f t="shared" si="3">IF(OR($G12="",$H12="",$H12&lt;$G12),"",IF(AND(V$9&lt;=$H12,V$9+6&gt;=$G12),1,""))</x:f>
      </x:c>
      <x:c r="W12" s="12" t="str">
        <x:f t="shared" si="3">IF(OR($G12="",$H12="",$H12&lt;$G12),"",IF(AND(W$9&lt;=$H12,W$9+6&gt;=$G12),1,""))</x:f>
      </x:c>
      <x:c r="X12" s="13" t="str">
        <x:f t="shared" si="3">IF(OR($G12="",$H12="",$H12&lt;$G12),"",IF(AND(X$9&lt;=$H12,X$9+6&gt;=$G12),1,""))</x:f>
      </x:c>
      <x:c r="Y12" s="12" t="str">
        <x:f t="shared" si="3">IF(OR($G12="",$H12="",$H12&lt;$G12),"",IF(AND(Y$9&lt;=$H12,Y$9+6&gt;=$G12),1,""))</x:f>
      </x:c>
      <x:c r="Z12" s="13" t="str">
        <x:f t="shared" si="3">IF(OR($G12="",$H12="",$H12&lt;$G12),"",IF(AND(Z$9&lt;=$H12,Z$9+6&gt;=$G12),1,""))</x:f>
      </x:c>
      <x:c r="AA12" s="12" t="str">
        <x:f t="shared" si="3">IF(OR($G12="",$H12="",$H12&lt;$G12),"",IF(AND(AA$9&lt;=$H12,AA$9+6&gt;=$G12),1,""))</x:f>
      </x:c>
      <x:c r="AB12" s="13" t="str">
        <x:f t="shared" si="3">IF(OR($G12="",$H12="",$H12&lt;$G12),"",IF(AND(AB$9&lt;=$H12,AB$9+6&gt;=$G12),1,""))</x:f>
      </x:c>
      <x:c r="AC12" s="12" t="str">
        <x:f t="shared" si="3">IF(OR($G12="",$H12="",$H12&lt;$G12),"",IF(AND(AC$9&lt;=$H12,AC$9+6&gt;=$G12),1,""))</x:f>
      </x:c>
      <x:c r="AD12" s="13" t="str">
        <x:f t="shared" si="3">IF(OR($G12="",$H12="",$H12&lt;$G12),"",IF(AND(AD$9&lt;=$H12,AD$9+6&gt;=$G12),1,""))</x:f>
      </x:c>
    </x:row>
    <x:row r="13" ht="24" customHeight="1">
      <x:c r="B13" s="55" t="str">
        <x:v>Identidad</x:v>
      </x:c>
      <x:c r="C13" s="58" t="str">
        <x:v>Regularización IPE a RUN sin duplicar estudiante</x:v>
      </x:c>
      <x:c r="D13" s="59" t="str">
        <x:v>Codex</x:v>
      </x:c>
      <x:c r="E13" s="8" t="str">
        <x:v>Completada</x:v>
      </x:c>
      <x:c r="F13" s="8" t="str">
        <x:v>P0</x:v>
      </x:c>
      <x:c r="G13" s="49" t="n">
        <x:v>46232</x:v>
      </x:c>
      <x:c r="H13" s="49" t="n">
        <x:v>46233</x:v>
      </x:c>
      <x:c r="I13" s="11" t="n">
        <x:f t="shared" si="1">IF(OR(G13="",H13="",H13&lt;G13),"",H13-G13+1)</x:f>
        <x:v>2</x:v>
      </x:c>
      <x:c r="J13" s="15"/>
      <x:c r="K13" s="12" t="n">
        <x:f t="shared" si="2">IF(OR($G13="",$H13="",$H13&lt;$G13),"",IF(AND(K$9&lt;=$H13,K$9+6&gt;=$G13),1,""))</x:f>
        <x:v>1</x:v>
      </x:c>
      <x:c r="L13" s="13" t="str">
        <x:f t="shared" si="2">IF(OR($G13="",$H13="",$H13&lt;$G13),"",IF(AND(L$9&lt;=$H13,L$9+6&gt;=$G13),1,""))</x:f>
      </x:c>
      <x:c r="M13" s="12" t="str">
        <x:f t="shared" si="2">IF(OR($G13="",$H13="",$H13&lt;$G13),"",IF(AND(M$9&lt;=$H13,M$9+6&gt;=$G13),1,""))</x:f>
      </x:c>
      <x:c r="N13" s="13" t="str">
        <x:f t="shared" si="2">IF(OR($G13="",$H13="",$H13&lt;$G13),"",IF(AND(N$9&lt;=$H13,N$9+6&gt;=$G13),1,""))</x:f>
      </x:c>
      <x:c r="O13" s="12" t="str">
        <x:f t="shared" si="2">IF(OR($G13="",$H13="",$H13&lt;$G13),"",IF(AND(O$9&lt;=$H13,O$9+6&gt;=$G13),1,""))</x:f>
      </x:c>
      <x:c r="P13" s="13" t="str">
        <x:f t="shared" si="2">IF(OR($G13="",$H13="",$H13&lt;$G13),"",IF(AND(P$9&lt;=$H13,P$9+6&gt;=$G13),1,""))</x:f>
      </x:c>
      <x:c r="Q13" s="12" t="str">
        <x:f t="shared" si="2">IF(OR($G13="",$H13="",$H13&lt;$G13),"",IF(AND(Q$9&lt;=$H13,Q$9+6&gt;=$G13),1,""))</x:f>
      </x:c>
      <x:c r="R13" s="13" t="str">
        <x:f t="shared" si="2">IF(OR($G13="",$H13="",$H13&lt;$G13),"",IF(AND(R$9&lt;=$H13,R$9+6&gt;=$G13),1,""))</x:f>
      </x:c>
      <x:c r="S13" s="12" t="str">
        <x:f t="shared" si="2">IF(OR($G13="",$H13="",$H13&lt;$G13),"",IF(AND(S$9&lt;=$H13,S$9+6&gt;=$G13),1,""))</x:f>
      </x:c>
      <x:c r="T13" s="13" t="str">
        <x:f t="shared" si="2">IF(OR($G13="",$H13="",$H13&lt;$G13),"",IF(AND(T$9&lt;=$H13,T$9+6&gt;=$G13),1,""))</x:f>
      </x:c>
      <x:c r="U13" s="12" t="str">
        <x:f t="shared" si="3">IF(OR($G13="",$H13="",$H13&lt;$G13),"",IF(AND(U$9&lt;=$H13,U$9+6&gt;=$G13),1,""))</x:f>
      </x:c>
      <x:c r="V13" s="13" t="str">
        <x:f t="shared" si="3">IF(OR($G13="",$H13="",$H13&lt;$G13),"",IF(AND(V$9&lt;=$H13,V$9+6&gt;=$G13),1,""))</x:f>
      </x:c>
      <x:c r="W13" s="12" t="str">
        <x:f t="shared" si="3">IF(OR($G13="",$H13="",$H13&lt;$G13),"",IF(AND(W$9&lt;=$H13,W$9+6&gt;=$G13),1,""))</x:f>
      </x:c>
      <x:c r="X13" s="13" t="str">
        <x:f t="shared" si="3">IF(OR($G13="",$H13="",$H13&lt;$G13),"",IF(AND(X$9&lt;=$H13,X$9+6&gt;=$G13),1,""))</x:f>
      </x:c>
      <x:c r="Y13" s="12" t="str">
        <x:f t="shared" si="3">IF(OR($G13="",$H13="",$H13&lt;$G13),"",IF(AND(Y$9&lt;=$H13,Y$9+6&gt;=$G13),1,""))</x:f>
      </x:c>
      <x:c r="Z13" s="13" t="str">
        <x:f t="shared" si="3">IF(OR($G13="",$H13="",$H13&lt;$G13),"",IF(AND(Z$9&lt;=$H13,Z$9+6&gt;=$G13),1,""))</x:f>
      </x:c>
      <x:c r="AA13" s="12" t="str">
        <x:f t="shared" si="3">IF(OR($G13="",$H13="",$H13&lt;$G13),"",IF(AND(AA$9&lt;=$H13,AA$9+6&gt;=$G13),1,""))</x:f>
      </x:c>
      <x:c r="AB13" s="13" t="str">
        <x:f t="shared" si="3">IF(OR($G13="",$H13="",$H13&lt;$G13),"",IF(AND(AB$9&lt;=$H13,AB$9+6&gt;=$G13),1,""))</x:f>
      </x:c>
      <x:c r="AC13" s="12" t="str">
        <x:f t="shared" si="3">IF(OR($G13="",$H13="",$H13&lt;$G13),"",IF(AND(AC$9&lt;=$H13,AC$9+6&gt;=$G13),1,""))</x:f>
      </x:c>
      <x:c r="AD13" s="13" t="str">
        <x:f t="shared" si="3">IF(OR($G13="",$H13="",$H13&lt;$G13),"",IF(AND(AD$9&lt;=$H13,AD$9+6&gt;=$G13),1,""))</x:f>
      </x:c>
    </x:row>
    <x:row r="14" ht="24" customHeight="1">
      <x:c r="B14" s="54" t="str">
        <x:v>Padrón</x:v>
      </x:c>
      <x:c r="C14" s="56" t="str">
        <x:v>Alta manual y vinculación posterior con ERP</x:v>
      </x:c>
      <x:c r="D14" s="57" t="str">
        <x:v>Codex</x:v>
      </x:c>
      <x:c r="E14" s="7" t="str">
        <x:v>Completada</x:v>
      </x:c>
      <x:c r="F14" s="7" t="str">
        <x:v>P0</x:v>
      </x:c>
      <x:c r="G14" s="48" t="n">
        <x:v>46233</x:v>
      </x:c>
      <x:c r="H14" s="48" t="n">
        <x:v>46233</x:v>
      </x:c>
      <x:c r="I14" s="11" t="n">
        <x:f t="shared" si="1">IF(OR(G14="",H14="",H14&lt;G14),"",H14-G14+1)</x:f>
        <x:v>1</x:v>
      </x:c>
      <x:c r="J14" s="15"/>
      <x:c r="K14" s="12" t="n">
        <x:f t="shared" si="2">IF(OR($G14="",$H14="",$H14&lt;$G14),"",IF(AND(K$9&lt;=$H14,K$9+6&gt;=$G14),1,""))</x:f>
        <x:v>1</x:v>
      </x:c>
      <x:c r="L14" s="13" t="str">
        <x:f t="shared" si="2">IF(OR($G14="",$H14="",$H14&lt;$G14),"",IF(AND(L$9&lt;=$H14,L$9+6&gt;=$G14),1,""))</x:f>
      </x:c>
      <x:c r="M14" s="12" t="str">
        <x:f t="shared" si="2">IF(OR($G14="",$H14="",$H14&lt;$G14),"",IF(AND(M$9&lt;=$H14,M$9+6&gt;=$G14),1,""))</x:f>
      </x:c>
      <x:c r="N14" s="13" t="str">
        <x:f t="shared" si="2">IF(OR($G14="",$H14="",$H14&lt;$G14),"",IF(AND(N$9&lt;=$H14,N$9+6&gt;=$G14),1,""))</x:f>
      </x:c>
      <x:c r="O14" s="12" t="str">
        <x:f t="shared" si="2">IF(OR($G14="",$H14="",$H14&lt;$G14),"",IF(AND(O$9&lt;=$H14,O$9+6&gt;=$G14),1,""))</x:f>
      </x:c>
      <x:c r="P14" s="13" t="str">
        <x:f t="shared" si="2">IF(OR($G14="",$H14="",$H14&lt;$G14),"",IF(AND(P$9&lt;=$H14,P$9+6&gt;=$G14),1,""))</x:f>
      </x:c>
      <x:c r="Q14" s="12" t="str">
        <x:f t="shared" si="2">IF(OR($G14="",$H14="",$H14&lt;$G14),"",IF(AND(Q$9&lt;=$H14,Q$9+6&gt;=$G14),1,""))</x:f>
      </x:c>
      <x:c r="R14" s="13" t="str">
        <x:f t="shared" si="2">IF(OR($G14="",$H14="",$H14&lt;$G14),"",IF(AND(R$9&lt;=$H14,R$9+6&gt;=$G14),1,""))</x:f>
      </x:c>
      <x:c r="S14" s="12" t="str">
        <x:f t="shared" si="2">IF(OR($G14="",$H14="",$H14&lt;$G14),"",IF(AND(S$9&lt;=$H14,S$9+6&gt;=$G14),1,""))</x:f>
      </x:c>
      <x:c r="T14" s="13" t="str">
        <x:f t="shared" si="2">IF(OR($G14="",$H14="",$H14&lt;$G14),"",IF(AND(T$9&lt;=$H14,T$9+6&gt;=$G14),1,""))</x:f>
      </x:c>
      <x:c r="U14" s="12" t="str">
        <x:f t="shared" si="3">IF(OR($G14="",$H14="",$H14&lt;$G14),"",IF(AND(U$9&lt;=$H14,U$9+6&gt;=$G14),1,""))</x:f>
      </x:c>
      <x:c r="V14" s="13" t="str">
        <x:f t="shared" si="3">IF(OR($G14="",$H14="",$H14&lt;$G14),"",IF(AND(V$9&lt;=$H14,V$9+6&gt;=$G14),1,""))</x:f>
      </x:c>
      <x:c r="W14" s="12" t="str">
        <x:f t="shared" si="3">IF(OR($G14="",$H14="",$H14&lt;$G14),"",IF(AND(W$9&lt;=$H14,W$9+6&gt;=$G14),1,""))</x:f>
      </x:c>
      <x:c r="X14" s="13" t="str">
        <x:f t="shared" si="3">IF(OR($G14="",$H14="",$H14&lt;$G14),"",IF(AND(X$9&lt;=$H14,X$9+6&gt;=$G14),1,""))</x:f>
      </x:c>
      <x:c r="Y14" s="12" t="str">
        <x:f t="shared" si="3">IF(OR($G14="",$H14="",$H14&lt;$G14),"",IF(AND(Y$9&lt;=$H14,Y$9+6&gt;=$G14),1,""))</x:f>
      </x:c>
      <x:c r="Z14" s="13" t="str">
        <x:f t="shared" si="3">IF(OR($G14="",$H14="",$H14&lt;$G14),"",IF(AND(Z$9&lt;=$H14,Z$9+6&gt;=$G14),1,""))</x:f>
      </x:c>
      <x:c r="AA14" s="12" t="str">
        <x:f t="shared" si="3">IF(OR($G14="",$H14="",$H14&lt;$G14),"",IF(AND(AA$9&lt;=$H14,AA$9+6&gt;=$G14),1,""))</x:f>
      </x:c>
      <x:c r="AB14" s="13" t="str">
        <x:f t="shared" si="3">IF(OR($G14="",$H14="",$H14&lt;$G14),"",IF(AND(AB$9&lt;=$H14,AB$9+6&gt;=$G14),1,""))</x:f>
      </x:c>
      <x:c r="AC14" s="12" t="str">
        <x:f t="shared" si="3">IF(OR($G14="",$H14="",$H14&lt;$G14),"",IF(AND(AC$9&lt;=$H14,AC$9+6&gt;=$G14),1,""))</x:f>
      </x:c>
      <x:c r="AD14" s="13" t="str">
        <x:f t="shared" si="3">IF(OR($G14="",$H14="",$H14&lt;$G14),"",IF(AND(AD$9&lt;=$H14,AD$9+6&gt;=$G14),1,""))</x:f>
      </x:c>
    </x:row>
    <x:row r="15" ht="24" customHeight="1">
      <x:c r="B15" s="55" t="str">
        <x:v>Padrón</x:v>
      </x:c>
      <x:c r="C15" s="58" t="str">
        <x:v>Bandeja de revisión y panel de calidad</x:v>
      </x:c>
      <x:c r="D15" s="59" t="str">
        <x:v>Codex</x:v>
      </x:c>
      <x:c r="E15" s="8" t="str">
        <x:v>Completada</x:v>
      </x:c>
      <x:c r="F15" s="8" t="str">
        <x:v>P1</x:v>
      </x:c>
      <x:c r="G15" s="49" t="n">
        <x:v>46233</x:v>
      </x:c>
      <x:c r="H15" s="49" t="n">
        <x:v>46233</x:v>
      </x:c>
      <x:c r="I15" s="11" t="n">
        <x:f t="shared" si="1">IF(OR(G15="",H15="",H15&lt;G15),"",H15-G15+1)</x:f>
        <x:v>1</x:v>
      </x:c>
      <x:c r="J15" s="15"/>
      <x:c r="K15" s="12" t="n">
        <x:f t="shared" si="2">IF(OR($G15="",$H15="",$H15&lt;$G15),"",IF(AND(K$9&lt;=$H15,K$9+6&gt;=$G15),1,""))</x:f>
        <x:v>1</x:v>
      </x:c>
      <x:c r="L15" s="13" t="str">
        <x:f t="shared" si="2">IF(OR($G15="",$H15="",$H15&lt;$G15),"",IF(AND(L$9&lt;=$H15,L$9+6&gt;=$G15),1,""))</x:f>
      </x:c>
      <x:c r="M15" s="12" t="str">
        <x:f t="shared" si="2">IF(OR($G15="",$H15="",$H15&lt;$G15),"",IF(AND(M$9&lt;=$H15,M$9+6&gt;=$G15),1,""))</x:f>
      </x:c>
      <x:c r="N15" s="13" t="str">
        <x:f t="shared" si="2">IF(OR($G15="",$H15="",$H15&lt;$G15),"",IF(AND(N$9&lt;=$H15,N$9+6&gt;=$G15),1,""))</x:f>
      </x:c>
      <x:c r="O15" s="12" t="str">
        <x:f t="shared" si="2">IF(OR($G15="",$H15="",$H15&lt;$G15),"",IF(AND(O$9&lt;=$H15,O$9+6&gt;=$G15),1,""))</x:f>
      </x:c>
      <x:c r="P15" s="13" t="str">
        <x:f t="shared" si="2">IF(OR($G15="",$H15="",$H15&lt;$G15),"",IF(AND(P$9&lt;=$H15,P$9+6&gt;=$G15),1,""))</x:f>
      </x:c>
      <x:c r="Q15" s="12" t="str">
        <x:f t="shared" si="2">IF(OR($G15="",$H15="",$H15&lt;$G15),"",IF(AND(Q$9&lt;=$H15,Q$9+6&gt;=$G15),1,""))</x:f>
      </x:c>
      <x:c r="R15" s="13" t="str">
        <x:f t="shared" si="2">IF(OR($G15="",$H15="",$H15&lt;$G15),"",IF(AND(R$9&lt;=$H15,R$9+6&gt;=$G15),1,""))</x:f>
      </x:c>
      <x:c r="S15" s="12" t="str">
        <x:f t="shared" si="2">IF(OR($G15="",$H15="",$H15&lt;$G15),"",IF(AND(S$9&lt;=$H15,S$9+6&gt;=$G15),1,""))</x:f>
      </x:c>
      <x:c r="T15" s="13" t="str">
        <x:f t="shared" si="2">IF(OR($G15="",$H15="",$H15&lt;$G15),"",IF(AND(T$9&lt;=$H15,T$9+6&gt;=$G15),1,""))</x:f>
      </x:c>
      <x:c r="U15" s="12" t="str">
        <x:f t="shared" si="3">IF(OR($G15="",$H15="",$H15&lt;$G15),"",IF(AND(U$9&lt;=$H15,U$9+6&gt;=$G15),1,""))</x:f>
      </x:c>
      <x:c r="V15" s="13" t="str">
        <x:f t="shared" si="3">IF(OR($G15="",$H15="",$H15&lt;$G15),"",IF(AND(V$9&lt;=$H15,V$9+6&gt;=$G15),1,""))</x:f>
      </x:c>
      <x:c r="W15" s="12" t="str">
        <x:f t="shared" si="3">IF(OR($G15="",$H15="",$H15&lt;$G15),"",IF(AND(W$9&lt;=$H15,W$9+6&gt;=$G15),1,""))</x:f>
      </x:c>
      <x:c r="X15" s="13" t="str">
        <x:f t="shared" si="3">IF(OR($G15="",$H15="",$H15&lt;$G15),"",IF(AND(X$9&lt;=$H15,X$9+6&gt;=$G15),1,""))</x:f>
      </x:c>
      <x:c r="Y15" s="12" t="str">
        <x:f t="shared" si="3">IF(OR($G15="",$H15="",$H15&lt;$G15),"",IF(AND(Y$9&lt;=$H15,Y$9+6&gt;=$G15),1,""))</x:f>
      </x:c>
      <x:c r="Z15" s="13" t="str">
        <x:f t="shared" si="3">IF(OR($G15="",$H15="",$H15&lt;$G15),"",IF(AND(Z$9&lt;=$H15,Z$9+6&gt;=$G15),1,""))</x:f>
      </x:c>
      <x:c r="AA15" s="12" t="str">
        <x:f t="shared" si="3">IF(OR($G15="",$H15="",$H15&lt;$G15),"",IF(AND(AA$9&lt;=$H15,AA$9+6&gt;=$G15),1,""))</x:f>
      </x:c>
      <x:c r="AB15" s="13" t="str">
        <x:f t="shared" si="3">IF(OR($G15="",$H15="",$H15&lt;$G15),"",IF(AND(AB$9&lt;=$H15,AB$9+6&gt;=$G15),1,""))</x:f>
      </x:c>
      <x:c r="AC15" s="12" t="str">
        <x:f t="shared" si="3">IF(OR($G15="",$H15="",$H15&lt;$G15),"",IF(AND(AC$9&lt;=$H15,AC$9+6&gt;=$G15),1,""))</x:f>
      </x:c>
      <x:c r="AD15" s="13" t="str">
        <x:f t="shared" si="3">IF(OR($G15="",$H15="",$H15&lt;$G15),"",IF(AND(AD$9&lt;=$H15,AD$9+6&gt;=$G15),1,""))</x:f>
      </x:c>
    </x:row>
    <x:row r="16" ht="24" customHeight="1">
      <x:c r="B16" s="54" t="str">
        <x:v>Exportaciones</x:v>
      </x:c>
      <x:c r="C16" s="56" t="str">
        <x:v>Exportaciones operativas y administrativas protegidas</x:v>
      </x:c>
      <x:c r="D16" s="57" t="str">
        <x:v>Codex</x:v>
      </x:c>
      <x:c r="E16" s="7" t="str">
        <x:v>Completada</x:v>
      </x:c>
      <x:c r="F16" s="7" t="str">
        <x:v>P1</x:v>
      </x:c>
      <x:c r="G16" s="48" t="n">
        <x:v>46235</x:v>
      </x:c>
      <x:c r="H16" s="48" t="n">
        <x:v>46235</x:v>
      </x:c>
      <x:c r="I16" s="11" t="n">
        <x:f t="shared" si="1">IF(OR(G16="",H16="",H16&lt;G16),"",H16-G16+1)</x:f>
        <x:v>1</x:v>
      </x:c>
      <x:c r="J16" s="15"/>
      <x:c r="K16" s="12" t="n">
        <x:f t="shared" si="2">IF(OR($G16="",$H16="",$H16&lt;$G16),"",IF(AND(K$9&lt;=$H16,K$9+6&gt;=$G16),1,""))</x:f>
        <x:v>1</x:v>
      </x:c>
      <x:c r="L16" s="13" t="str">
        <x:f t="shared" si="2">IF(OR($G16="",$H16="",$H16&lt;$G16),"",IF(AND(L$9&lt;=$H16,L$9+6&gt;=$G16),1,""))</x:f>
      </x:c>
      <x:c r="M16" s="12" t="str">
        <x:f t="shared" si="2">IF(OR($G16="",$H16="",$H16&lt;$G16),"",IF(AND(M$9&lt;=$H16,M$9+6&gt;=$G16),1,""))</x:f>
      </x:c>
      <x:c r="N16" s="13" t="str">
        <x:f t="shared" si="2">IF(OR($G16="",$H16="",$H16&lt;$G16),"",IF(AND(N$9&lt;=$H16,N$9+6&gt;=$G16),1,""))</x:f>
      </x:c>
      <x:c r="O16" s="12" t="str">
        <x:f t="shared" si="2">IF(OR($G16="",$H16="",$H16&lt;$G16),"",IF(AND(O$9&lt;=$H16,O$9+6&gt;=$G16),1,""))</x:f>
      </x:c>
      <x:c r="P16" s="13" t="str">
        <x:f t="shared" si="2">IF(OR($G16="",$H16="",$H16&lt;$G16),"",IF(AND(P$9&lt;=$H16,P$9+6&gt;=$G16),1,""))</x:f>
      </x:c>
      <x:c r="Q16" s="12" t="str">
        <x:f t="shared" si="2">IF(OR($G16="",$H16="",$H16&lt;$G16),"",IF(AND(Q$9&lt;=$H16,Q$9+6&gt;=$G16),1,""))</x:f>
      </x:c>
      <x:c r="R16" s="13" t="str">
        <x:f t="shared" si="2">IF(OR($G16="",$H16="",$H16&lt;$G16),"",IF(AND(R$9&lt;=$H16,R$9+6&gt;=$G16),1,""))</x:f>
      </x:c>
      <x:c r="S16" s="12" t="str">
        <x:f t="shared" si="2">IF(OR($G16="",$H16="",$H16&lt;$G16),"",IF(AND(S$9&lt;=$H16,S$9+6&gt;=$G16),1,""))</x:f>
      </x:c>
      <x:c r="T16" s="13" t="str">
        <x:f t="shared" si="2">IF(OR($G16="",$H16="",$H16&lt;$G16),"",IF(AND(T$9&lt;=$H16,T$9+6&gt;=$G16),1,""))</x:f>
      </x:c>
      <x:c r="U16" s="12" t="str">
        <x:f t="shared" si="3">IF(OR($G16="",$H16="",$H16&lt;$G16),"",IF(AND(U$9&lt;=$H16,U$9+6&gt;=$G16),1,""))</x:f>
      </x:c>
      <x:c r="V16" s="13" t="str">
        <x:f t="shared" si="3">IF(OR($G16="",$H16="",$H16&lt;$G16),"",IF(AND(V$9&lt;=$H16,V$9+6&gt;=$G16),1,""))</x:f>
      </x:c>
      <x:c r="W16" s="12" t="str">
        <x:f t="shared" si="3">IF(OR($G16="",$H16="",$H16&lt;$G16),"",IF(AND(W$9&lt;=$H16,W$9+6&gt;=$G16),1,""))</x:f>
      </x:c>
      <x:c r="X16" s="13" t="str">
        <x:f t="shared" si="3">IF(OR($G16="",$H16="",$H16&lt;$G16),"",IF(AND(X$9&lt;=$H16,X$9+6&gt;=$G16),1,""))</x:f>
      </x:c>
      <x:c r="Y16" s="12" t="str">
        <x:f t="shared" si="3">IF(OR($G16="",$H16="",$H16&lt;$G16),"",IF(AND(Y$9&lt;=$H16,Y$9+6&gt;=$G16),1,""))</x:f>
      </x:c>
      <x:c r="Z16" s="13" t="str">
        <x:f t="shared" si="3">IF(OR($G16="",$H16="",$H16&lt;$G16),"",IF(AND(Z$9&lt;=$H16,Z$9+6&gt;=$G16),1,""))</x:f>
      </x:c>
      <x:c r="AA16" s="12" t="str">
        <x:f t="shared" si="3">IF(OR($G16="",$H16="",$H16&lt;$G16),"",IF(AND(AA$9&lt;=$H16,AA$9+6&gt;=$G16),1,""))</x:f>
      </x:c>
      <x:c r="AB16" s="13" t="str">
        <x:f t="shared" si="3">IF(OR($G16="",$H16="",$H16&lt;$G16),"",IF(AND(AB$9&lt;=$H16,AB$9+6&gt;=$G16),1,""))</x:f>
      </x:c>
      <x:c r="AC16" s="12" t="str">
        <x:f t="shared" si="3">IF(OR($G16="",$H16="",$H16&lt;$G16),"",IF(AND(AC$9&lt;=$H16,AC$9+6&gt;=$G16),1,""))</x:f>
      </x:c>
      <x:c r="AD16" s="13" t="str">
        <x:f t="shared" si="3">IF(OR($G16="",$H16="",$H16&lt;$G16),"",IF(AND(AD$9&lt;=$H16,AD$9+6&gt;=$G16),1,""))</x:f>
      </x:c>
    </x:row>
    <x:row r="17" ht="24" customHeight="1">
      <x:c r="B17" s="55" t="str">
        <x:v>Seguridad</x:v>
      </x:c>
      <x:c r="C17" s="58" t="str">
        <x:v>Enmascaramiento y auditoría de información sensible</x:v>
      </x:c>
      <x:c r="D17" s="59" t="str">
        <x:v>Codex</x:v>
      </x:c>
      <x:c r="E17" s="8" t="str">
        <x:v>Completada</x:v>
      </x:c>
      <x:c r="F17" s="8" t="str">
        <x:v>P0</x:v>
      </x:c>
      <x:c r="G17" s="49" t="n">
        <x:v>46235</x:v>
      </x:c>
      <x:c r="H17" s="49" t="n">
        <x:v>46235</x:v>
      </x:c>
      <x:c r="I17" s="11" t="n">
        <x:f t="shared" si="1">IF(OR(G17="",H17="",H17&lt;G17),"",H17-G17+1)</x:f>
        <x:v>1</x:v>
      </x:c>
      <x:c r="J17" s="15"/>
      <x:c r="K17" s="12" t="n">
        <x:f t="shared" si="2">IF(OR($G17="",$H17="",$H17&lt;$G17),"",IF(AND(K$9&lt;=$H17,K$9+6&gt;=$G17),1,""))</x:f>
        <x:v>1</x:v>
      </x:c>
      <x:c r="L17" s="13" t="str">
        <x:f t="shared" si="2">IF(OR($G17="",$H17="",$H17&lt;$G17),"",IF(AND(L$9&lt;=$H17,L$9+6&gt;=$G17),1,""))</x:f>
      </x:c>
      <x:c r="M17" s="12" t="str">
        <x:f t="shared" si="2">IF(OR($G17="",$H17="",$H17&lt;$G17),"",IF(AND(M$9&lt;=$H17,M$9+6&gt;=$G17),1,""))</x:f>
      </x:c>
      <x:c r="N17" s="13" t="str">
        <x:f t="shared" si="2">IF(OR($G17="",$H17="",$H17&lt;$G17),"",IF(AND(N$9&lt;=$H17,N$9+6&gt;=$G17),1,""))</x:f>
      </x:c>
      <x:c r="O17" s="12" t="str">
        <x:f t="shared" si="2">IF(OR($G17="",$H17="",$H17&lt;$G17),"",IF(AND(O$9&lt;=$H17,O$9+6&gt;=$G17),1,""))</x:f>
      </x:c>
      <x:c r="P17" s="13" t="str">
        <x:f t="shared" si="2">IF(OR($G17="",$H17="",$H17&lt;$G17),"",IF(AND(P$9&lt;=$H17,P$9+6&gt;=$G17),1,""))</x:f>
      </x:c>
      <x:c r="Q17" s="12" t="str">
        <x:f t="shared" si="2">IF(OR($G17="",$H17="",$H17&lt;$G17),"",IF(AND(Q$9&lt;=$H17,Q$9+6&gt;=$G17),1,""))</x:f>
      </x:c>
      <x:c r="R17" s="13" t="str">
        <x:f t="shared" si="2">IF(OR($G17="",$H17="",$H17&lt;$G17),"",IF(AND(R$9&lt;=$H17,R$9+6&gt;=$G17),1,""))</x:f>
      </x:c>
      <x:c r="S17" s="12" t="str">
        <x:f t="shared" si="2">IF(OR($G17="",$H17="",$H17&lt;$G17),"",IF(AND(S$9&lt;=$H17,S$9+6&gt;=$G17),1,""))</x:f>
      </x:c>
      <x:c r="T17" s="13" t="str">
        <x:f t="shared" si="2">IF(OR($G17="",$H17="",$H17&lt;$G17),"",IF(AND(T$9&lt;=$H17,T$9+6&gt;=$G17),1,""))</x:f>
      </x:c>
      <x:c r="U17" s="12" t="str">
        <x:f t="shared" si="3">IF(OR($G17="",$H17="",$H17&lt;$G17),"",IF(AND(U$9&lt;=$H17,U$9+6&gt;=$G17),1,""))</x:f>
      </x:c>
      <x:c r="V17" s="13" t="str">
        <x:f t="shared" si="3">IF(OR($G17="",$H17="",$H17&lt;$G17),"",IF(AND(V$9&lt;=$H17,V$9+6&gt;=$G17),1,""))</x:f>
      </x:c>
      <x:c r="W17" s="12" t="str">
        <x:f t="shared" si="3">IF(OR($G17="",$H17="",$H17&lt;$G17),"",IF(AND(W$9&lt;=$H17,W$9+6&gt;=$G17),1,""))</x:f>
      </x:c>
      <x:c r="X17" s="13" t="str">
        <x:f t="shared" si="3">IF(OR($G17="",$H17="",$H17&lt;$G17),"",IF(AND(X$9&lt;=$H17,X$9+6&gt;=$G17),1,""))</x:f>
      </x:c>
      <x:c r="Y17" s="12" t="str">
        <x:f t="shared" si="3">IF(OR($G17="",$H17="",$H17&lt;$G17),"",IF(AND(Y$9&lt;=$H17,Y$9+6&gt;=$G17),1,""))</x:f>
      </x:c>
      <x:c r="Z17" s="13" t="str">
        <x:f t="shared" si="3">IF(OR($G17="",$H17="",$H17&lt;$G17),"",IF(AND(Z$9&lt;=$H17,Z$9+6&gt;=$G17),1,""))</x:f>
      </x:c>
      <x:c r="AA17" s="12" t="str">
        <x:f t="shared" si="3">IF(OR($G17="",$H17="",$H17&lt;$G17),"",IF(AND(AA$9&lt;=$H17,AA$9+6&gt;=$G17),1,""))</x:f>
      </x:c>
      <x:c r="AB17" s="13" t="str">
        <x:f t="shared" si="3">IF(OR($G17="",$H17="",$H17&lt;$G17),"",IF(AND(AB$9&lt;=$H17,AB$9+6&gt;=$G17),1,""))</x:f>
      </x:c>
      <x:c r="AC17" s="12" t="str">
        <x:f t="shared" si="3">IF(OR($G17="",$H17="",$H17&lt;$G17),"",IF(AND(AC$9&lt;=$H17,AC$9+6&gt;=$G17),1,""))</x:f>
      </x:c>
      <x:c r="AD17" s="13" t="str">
        <x:f t="shared" si="3">IF(OR($G17="",$H17="",$H17&lt;$G17),"",IF(AND(AD$9&lt;=$H17,AD$9+6&gt;=$G17),1,""))</x:f>
      </x:c>
    </x:row>
    <x:row r="18" ht="24" customHeight="1">
      <x:c r="B18" s="54" t="str">
        <x:v>Validadores</x:v>
      </x:c>
      <x:c r="C18" s="56" t="str">
        <x:v>RUN, IPE y documentos extranjeros extensibles</x:v>
      </x:c>
      <x:c r="D18" s="57" t="str">
        <x:v>Codex</x:v>
      </x:c>
      <x:c r="E18" s="7" t="str">
        <x:v>Completada</x:v>
      </x:c>
      <x:c r="F18" s="7" t="str">
        <x:v>P1</x:v>
      </x:c>
      <x:c r="G18" s="48" t="n">
        <x:v>46233</x:v>
      </x:c>
      <x:c r="H18" s="48" t="n">
        <x:v>46235</x:v>
      </x:c>
      <x:c r="I18" s="11" t="n">
        <x:f t="shared" si="1">IF(OR(G18="",H18="",H18&lt;G18),"",H18-G18+1)</x:f>
        <x:v>3</x:v>
      </x:c>
      <x:c r="J18" s="15"/>
      <x:c r="K18" s="12" t="n">
        <x:f t="shared" si="2">IF(OR($G18="",$H18="",$H18&lt;$G18),"",IF(AND(K$9&lt;=$H18,K$9+6&gt;=$G18),1,""))</x:f>
        <x:v>1</x:v>
      </x:c>
      <x:c r="L18" s="13" t="str">
        <x:f t="shared" si="2">IF(OR($G18="",$H18="",$H18&lt;$G18),"",IF(AND(L$9&lt;=$H18,L$9+6&gt;=$G18),1,""))</x:f>
      </x:c>
      <x:c r="M18" s="12" t="str">
        <x:f t="shared" si="2">IF(OR($G18="",$H18="",$H18&lt;$G18),"",IF(AND(M$9&lt;=$H18,M$9+6&gt;=$G18),1,""))</x:f>
      </x:c>
      <x:c r="N18" s="13" t="str">
        <x:f t="shared" si="2">IF(OR($G18="",$H18="",$H18&lt;$G18),"",IF(AND(N$9&lt;=$H18,N$9+6&gt;=$G18),1,""))</x:f>
      </x:c>
      <x:c r="O18" s="12" t="str">
        <x:f t="shared" si="2">IF(OR($G18="",$H18="",$H18&lt;$G18),"",IF(AND(O$9&lt;=$H18,O$9+6&gt;=$G18),1,""))</x:f>
      </x:c>
      <x:c r="P18" s="13" t="str">
        <x:f t="shared" si="2">IF(OR($G18="",$H18="",$H18&lt;$G18),"",IF(AND(P$9&lt;=$H18,P$9+6&gt;=$G18),1,""))</x:f>
      </x:c>
      <x:c r="Q18" s="12" t="str">
        <x:f t="shared" si="2">IF(OR($G18="",$H18="",$H18&lt;$G18),"",IF(AND(Q$9&lt;=$H18,Q$9+6&gt;=$G18),1,""))</x:f>
      </x:c>
      <x:c r="R18" s="13" t="str">
        <x:f t="shared" si="2">IF(OR($G18="",$H18="",$H18&lt;$G18),"",IF(AND(R$9&lt;=$H18,R$9+6&gt;=$G18),1,""))</x:f>
      </x:c>
      <x:c r="S18" s="12" t="str">
        <x:f t="shared" si="2">IF(OR($G18="",$H18="",$H18&lt;$G18),"",IF(AND(S$9&lt;=$H18,S$9+6&gt;=$G18),1,""))</x:f>
      </x:c>
      <x:c r="T18" s="13" t="str">
        <x:f t="shared" si="2">IF(OR($G18="",$H18="",$H18&lt;$G18),"",IF(AND(T$9&lt;=$H18,T$9+6&gt;=$G18),1,""))</x:f>
      </x:c>
      <x:c r="U18" s="12" t="str">
        <x:f t="shared" si="3">IF(OR($G18="",$H18="",$H18&lt;$G18),"",IF(AND(U$9&lt;=$H18,U$9+6&gt;=$G18),1,""))</x:f>
      </x:c>
      <x:c r="V18" s="13" t="str">
        <x:f t="shared" si="3">IF(OR($G18="",$H18="",$H18&lt;$G18),"",IF(AND(V$9&lt;=$H18,V$9+6&gt;=$G18),1,""))</x:f>
      </x:c>
      <x:c r="W18" s="12" t="str">
        <x:f t="shared" si="3">IF(OR($G18="",$H18="",$H18&lt;$G18),"",IF(AND(W$9&lt;=$H18,W$9+6&gt;=$G18),1,""))</x:f>
      </x:c>
      <x:c r="X18" s="13" t="str">
        <x:f t="shared" si="3">IF(OR($G18="",$H18="",$H18&lt;$G18),"",IF(AND(X$9&lt;=$H18,X$9+6&gt;=$G18),1,""))</x:f>
      </x:c>
      <x:c r="Y18" s="12" t="str">
        <x:f t="shared" si="3">IF(OR($G18="",$H18="",$H18&lt;$G18),"",IF(AND(Y$9&lt;=$H18,Y$9+6&gt;=$G18),1,""))</x:f>
      </x:c>
      <x:c r="Z18" s="13" t="str">
        <x:f t="shared" si="3">IF(OR($G18="",$H18="",$H18&lt;$G18),"",IF(AND(Z$9&lt;=$H18,Z$9+6&gt;=$G18),1,""))</x:f>
      </x:c>
      <x:c r="AA18" s="12" t="str">
        <x:f t="shared" si="3">IF(OR($G18="",$H18="",$H18&lt;$G18),"",IF(AND(AA$9&lt;=$H18,AA$9+6&gt;=$G18),1,""))</x:f>
      </x:c>
      <x:c r="AB18" s="13" t="str">
        <x:f t="shared" si="3">IF(OR($G18="",$H18="",$H18&lt;$G18),"",IF(AND(AB$9&lt;=$H18,AB$9+6&gt;=$G18),1,""))</x:f>
      </x:c>
      <x:c r="AC18" s="12" t="str">
        <x:f t="shared" si="3">IF(OR($G18="",$H18="",$H18&lt;$G18),"",IF(AND(AC$9&lt;=$H18,AC$9+6&gt;=$G18),1,""))</x:f>
      </x:c>
      <x:c r="AD18" s="13" t="str">
        <x:f t="shared" si="3">IF(OR($G18="",$H18="",$H18&lt;$G18),"",IF(AND(AD$9&lt;=$H18,AD$9+6&gt;=$G18),1,""))</x:f>
      </x:c>
    </x:row>
    <x:row r="19" ht="24" customHeight="1">
      <x:c r="B19" s="55" t="str">
        <x:v>Registro móvil</x:v>
      </x:c>
      <x:c r="C19" s="58" t="str">
        <x:v>Cámara web, antiduplicado y fallback manual</x:v>
      </x:c>
      <x:c r="D19" s="59" t="str">
        <x:v>Codex</x:v>
      </x:c>
      <x:c r="E19" s="8" t="str">
        <x:v>Completada</x:v>
      </x:c>
      <x:c r="F19" s="8" t="str">
        <x:v>P0</x:v>
      </x:c>
      <x:c r="G19" s="49" t="n">
        <x:v>46235</x:v>
      </x:c>
      <x:c r="H19" s="49" t="n">
        <x:v>46235</x:v>
      </x:c>
      <x:c r="I19" s="11" t="n">
        <x:f t="shared" si="1">IF(OR(G19="",H19="",H19&lt;G19),"",H19-G19+1)</x:f>
        <x:v>1</x:v>
      </x:c>
      <x:c r="J19" s="15"/>
      <x:c r="K19" s="12" t="n">
        <x:f t="shared" si="2">IF(OR($G19="",$H19="",$H19&lt;$G19),"",IF(AND(K$9&lt;=$H19,K$9+6&gt;=$G19),1,""))</x:f>
        <x:v>1</x:v>
      </x:c>
      <x:c r="L19" s="13" t="str">
        <x:f t="shared" si="2">IF(OR($G19="",$H19="",$H19&lt;$G19),"",IF(AND(L$9&lt;=$H19,L$9+6&gt;=$G19),1,""))</x:f>
      </x:c>
      <x:c r="M19" s="12" t="str">
        <x:f t="shared" si="2">IF(OR($G19="",$H19="",$H19&lt;$G19),"",IF(AND(M$9&lt;=$H19,M$9+6&gt;=$G19),1,""))</x:f>
      </x:c>
      <x:c r="N19" s="13" t="str">
        <x:f t="shared" si="2">IF(OR($G19="",$H19="",$H19&lt;$G19),"",IF(AND(N$9&lt;=$H19,N$9+6&gt;=$G19),1,""))</x:f>
      </x:c>
      <x:c r="O19" s="12" t="str">
        <x:f t="shared" si="2">IF(OR($G19="",$H19="",$H19&lt;$G19),"",IF(AND(O$9&lt;=$H19,O$9+6&gt;=$G19),1,""))</x:f>
      </x:c>
      <x:c r="P19" s="13" t="str">
        <x:f t="shared" si="2">IF(OR($G19="",$H19="",$H19&lt;$G19),"",IF(AND(P$9&lt;=$H19,P$9+6&gt;=$G19),1,""))</x:f>
      </x:c>
      <x:c r="Q19" s="12" t="str">
        <x:f t="shared" si="2">IF(OR($G19="",$H19="",$H19&lt;$G19),"",IF(AND(Q$9&lt;=$H19,Q$9+6&gt;=$G19),1,""))</x:f>
      </x:c>
      <x:c r="R19" s="13" t="str">
        <x:f t="shared" si="2">IF(OR($G19="",$H19="",$H19&lt;$G19),"",IF(AND(R$9&lt;=$H19,R$9+6&gt;=$G19),1,""))</x:f>
      </x:c>
      <x:c r="S19" s="12" t="str">
        <x:f t="shared" si="2">IF(OR($G19="",$H19="",$H19&lt;$G19),"",IF(AND(S$9&lt;=$H19,S$9+6&gt;=$G19),1,""))</x:f>
      </x:c>
      <x:c r="T19" s="13" t="str">
        <x:f t="shared" si="2">IF(OR($G19="",$H19="",$H19&lt;$G19),"",IF(AND(T$9&lt;=$H19,T$9+6&gt;=$G19),1,""))</x:f>
      </x:c>
      <x:c r="U19" s="12" t="str">
        <x:f t="shared" si="3">IF(OR($G19="",$H19="",$H19&lt;$G19),"",IF(AND(U$9&lt;=$H19,U$9+6&gt;=$G19),1,""))</x:f>
      </x:c>
      <x:c r="V19" s="13" t="str">
        <x:f t="shared" si="3">IF(OR($G19="",$H19="",$H19&lt;$G19),"",IF(AND(V$9&lt;=$H19,V$9+6&gt;=$G19),1,""))</x:f>
      </x:c>
      <x:c r="W19" s="12" t="str">
        <x:f t="shared" si="3">IF(OR($G19="",$H19="",$H19&lt;$G19),"",IF(AND(W$9&lt;=$H19,W$9+6&gt;=$G19),1,""))</x:f>
      </x:c>
      <x:c r="X19" s="13" t="str">
        <x:f t="shared" si="3">IF(OR($G19="",$H19="",$H19&lt;$G19),"",IF(AND(X$9&lt;=$H19,X$9+6&gt;=$G19),1,""))</x:f>
      </x:c>
      <x:c r="Y19" s="12" t="str">
        <x:f t="shared" si="3">IF(OR($G19="",$H19="",$H19&lt;$G19),"",IF(AND(Y$9&lt;=$H19,Y$9+6&gt;=$G19),1,""))</x:f>
      </x:c>
      <x:c r="Z19" s="13" t="str">
        <x:f t="shared" si="3">IF(OR($G19="",$H19="",$H19&lt;$G19),"",IF(AND(Z$9&lt;=$H19,Z$9+6&gt;=$G19),1,""))</x:f>
      </x:c>
      <x:c r="AA19" s="12" t="str">
        <x:f t="shared" si="3">IF(OR($G19="",$H19="",$H19&lt;$G19),"",IF(AND(AA$9&lt;=$H19,AA$9+6&gt;=$G19),1,""))</x:f>
      </x:c>
      <x:c r="AB19" s="13" t="str">
        <x:f t="shared" si="3">IF(OR($G19="",$H19="",$H19&lt;$G19),"",IF(AND(AB$9&lt;=$H19,AB$9+6&gt;=$G19),1,""))</x:f>
      </x:c>
      <x:c r="AC19" s="12" t="str">
        <x:f t="shared" si="3">IF(OR($G19="",$H19="",$H19&lt;$G19),"",IF(AND(AC$9&lt;=$H19,AC$9+6&gt;=$G19),1,""))</x:f>
      </x:c>
      <x:c r="AD19" s="13" t="str">
        <x:f t="shared" si="3">IF(OR($G19="",$H19="",$H19&lt;$G19),"",IF(AND(AD$9&lt;=$H19,AD$9+6&gt;=$G19),1,""))</x:f>
      </x:c>
    </x:row>
    <x:row r="20" ht="24" customHeight="1">
      <x:c r="B20" s="54" t="str">
        <x:v>MRZ</x:v>
      </x:c>
      <x:c r="C20" s="56" t="str">
        <x:v>Lectura restringida de pasaportes sin guardar imágenes</x:v>
      </x:c>
      <x:c r="D20" s="57" t="str">
        <x:v>Codex</x:v>
      </x:c>
      <x:c r="E20" s="7" t="str">
        <x:v>Completada</x:v>
      </x:c>
      <x:c r="F20" s="7" t="str">
        <x:v>P2</x:v>
      </x:c>
      <x:c r="G20" s="48" t="n">
        <x:v>46235</x:v>
      </x:c>
      <x:c r="H20" s="48" t="n">
        <x:v>46235</x:v>
      </x:c>
      <x:c r="I20" s="11" t="n">
        <x:f t="shared" si="1">IF(OR(G20="",H20="",H20&lt;G20),"",H20-G20+1)</x:f>
        <x:v>1</x:v>
      </x:c>
      <x:c r="J20" s="15"/>
      <x:c r="K20" s="12" t="n">
        <x:f t="shared" ref="K20:T29" si="4">IF(OR($G20="",$H20="",$H20&lt;$G20),"",IF(AND(K$9&lt;=$H20,K$9+6&gt;=$G20),1,""))</x:f>
        <x:v>1</x:v>
      </x:c>
      <x:c r="L20" s="13" t="str">
        <x:f t="shared" si="4">IF(OR($G20="",$H20="",$H20&lt;$G20),"",IF(AND(L$9&lt;=$H20,L$9+6&gt;=$G20),1,""))</x:f>
      </x:c>
      <x:c r="M20" s="12" t="str">
        <x:f t="shared" si="4">IF(OR($G20="",$H20="",$H20&lt;$G20),"",IF(AND(M$9&lt;=$H20,M$9+6&gt;=$G20),1,""))</x:f>
      </x:c>
      <x:c r="N20" s="13" t="str">
        <x:f t="shared" si="4">IF(OR($G20="",$H20="",$H20&lt;$G20),"",IF(AND(N$9&lt;=$H20,N$9+6&gt;=$G20),1,""))</x:f>
      </x:c>
      <x:c r="O20" s="12" t="str">
        <x:f t="shared" si="4">IF(OR($G20="",$H20="",$H20&lt;$G20),"",IF(AND(O$9&lt;=$H20,O$9+6&gt;=$G20),1,""))</x:f>
      </x:c>
      <x:c r="P20" s="13" t="str">
        <x:f t="shared" si="4">IF(OR($G20="",$H20="",$H20&lt;$G20),"",IF(AND(P$9&lt;=$H20,P$9+6&gt;=$G20),1,""))</x:f>
      </x:c>
      <x:c r="Q20" s="12" t="str">
        <x:f t="shared" si="4">IF(OR($G20="",$H20="",$H20&lt;$G20),"",IF(AND(Q$9&lt;=$H20,Q$9+6&gt;=$G20),1,""))</x:f>
      </x:c>
      <x:c r="R20" s="13" t="str">
        <x:f t="shared" si="4">IF(OR($G20="",$H20="",$H20&lt;$G20),"",IF(AND(R$9&lt;=$H20,R$9+6&gt;=$G20),1,""))</x:f>
      </x:c>
      <x:c r="S20" s="12" t="str">
        <x:f t="shared" si="4">IF(OR($G20="",$H20="",$H20&lt;$G20),"",IF(AND(S$9&lt;=$H20,S$9+6&gt;=$G20),1,""))</x:f>
      </x:c>
      <x:c r="T20" s="13" t="str">
        <x:f t="shared" si="4">IF(OR($G20="",$H20="",$H20&lt;$G20),"",IF(AND(T$9&lt;=$H20,T$9+6&gt;=$G20),1,""))</x:f>
      </x:c>
      <x:c r="U20" s="12" t="str">
        <x:f t="shared" ref="U20:AD29" si="5">IF(OR($G20="",$H20="",$H20&lt;$G20),"",IF(AND(U$9&lt;=$H20,U$9+6&gt;=$G20),1,""))</x:f>
      </x:c>
      <x:c r="V20" s="13" t="str">
        <x:f t="shared" si="5">IF(OR($G20="",$H20="",$H20&lt;$G20),"",IF(AND(V$9&lt;=$H20,V$9+6&gt;=$G20),1,""))</x:f>
      </x:c>
      <x:c r="W20" s="12" t="str">
        <x:f t="shared" si="5">IF(OR($G20="",$H20="",$H20&lt;$G20),"",IF(AND(W$9&lt;=$H20,W$9+6&gt;=$G20),1,""))</x:f>
      </x:c>
      <x:c r="X20" s="13" t="str">
        <x:f t="shared" si="5">IF(OR($G20="",$H20="",$H20&lt;$G20),"",IF(AND(X$9&lt;=$H20,X$9+6&gt;=$G20),1,""))</x:f>
      </x:c>
      <x:c r="Y20" s="12" t="str">
        <x:f t="shared" si="5">IF(OR($G20="",$H20="",$H20&lt;$G20),"",IF(AND(Y$9&lt;=$H20,Y$9+6&gt;=$G20),1,""))</x:f>
      </x:c>
      <x:c r="Z20" s="13" t="str">
        <x:f t="shared" si="5">IF(OR($G20="",$H20="",$H20&lt;$G20),"",IF(AND(Z$9&lt;=$H20,Z$9+6&gt;=$G20),1,""))</x:f>
      </x:c>
      <x:c r="AA20" s="12" t="str">
        <x:f t="shared" si="5">IF(OR($G20="",$H20="",$H20&lt;$G20),"",IF(AND(AA$9&lt;=$H20,AA$9+6&gt;=$G20),1,""))</x:f>
      </x:c>
      <x:c r="AB20" s="13" t="str">
        <x:f t="shared" si="5">IF(OR($G20="",$H20="",$H20&lt;$G20),"",IF(AND(AB$9&lt;=$H20,AB$9+6&gt;=$G20),1,""))</x:f>
      </x:c>
      <x:c r="AC20" s="12" t="str">
        <x:f t="shared" si="5">IF(OR($G20="",$H20="",$H20&lt;$G20),"",IF(AND(AC$9&lt;=$H20,AC$9+6&gt;=$G20),1,""))</x:f>
      </x:c>
      <x:c r="AD20" s="13" t="str">
        <x:f t="shared" si="5">IF(OR($G20="",$H20="",$H20&lt;$G20),"",IF(AND(AD$9&lt;=$H20,AD$9+6&gt;=$G20),1,""))</x:f>
      </x:c>
    </x:row>
    <x:row r="21" ht="24" customHeight="1">
      <x:c r="B21" s="55" t="str">
        <x:v>Permisos</x:v>
      </x:c>
      <x:c r="C21" s="58" t="str">
        <x:v>Permisos granulares de identidad y métodos de registro</x:v>
      </x:c>
      <x:c r="D21" s="59" t="str">
        <x:v>Codex</x:v>
      </x:c>
      <x:c r="E21" s="8" t="str">
        <x:v>Completada</x:v>
      </x:c>
      <x:c r="F21" s="8" t="str">
        <x:v>P0</x:v>
      </x:c>
      <x:c r="G21" s="49" t="n">
        <x:v>46235</x:v>
      </x:c>
      <x:c r="H21" s="49" t="n">
        <x:v>46235</x:v>
      </x:c>
      <x:c r="I21" s="11" t="n">
        <x:f t="shared" si="1">IF(OR(G21="",H21="",H21&lt;G21),"",H21-G21+1)</x:f>
        <x:v>1</x:v>
      </x:c>
      <x:c r="J21" s="15"/>
      <x:c r="K21" s="12" t="n">
        <x:f t="shared" si="4">IF(OR($G21="",$H21="",$H21&lt;$G21),"",IF(AND(K$9&lt;=$H21,K$9+6&gt;=$G21),1,""))</x:f>
        <x:v>1</x:v>
      </x:c>
      <x:c r="L21" s="13" t="str">
        <x:f t="shared" si="4">IF(OR($G21="",$H21="",$H21&lt;$G21),"",IF(AND(L$9&lt;=$H21,L$9+6&gt;=$G21),1,""))</x:f>
      </x:c>
      <x:c r="M21" s="12" t="str">
        <x:f t="shared" si="4">IF(OR($G21="",$H21="",$H21&lt;$G21),"",IF(AND(M$9&lt;=$H21,M$9+6&gt;=$G21),1,""))</x:f>
      </x:c>
      <x:c r="N21" s="13" t="str">
        <x:f t="shared" si="4">IF(OR($G21="",$H21="",$H21&lt;$G21),"",IF(AND(N$9&lt;=$H21,N$9+6&gt;=$G21),1,""))</x:f>
      </x:c>
      <x:c r="O21" s="12" t="str">
        <x:f t="shared" si="4">IF(OR($G21="",$H21="",$H21&lt;$G21),"",IF(AND(O$9&lt;=$H21,O$9+6&gt;=$G21),1,""))</x:f>
      </x:c>
      <x:c r="P21" s="13" t="str">
        <x:f t="shared" si="4">IF(OR($G21="",$H21="",$H21&lt;$G21),"",IF(AND(P$9&lt;=$H21,P$9+6&gt;=$G21),1,""))</x:f>
      </x:c>
      <x:c r="Q21" s="12" t="str">
        <x:f t="shared" si="4">IF(OR($G21="",$H21="",$H21&lt;$G21),"",IF(AND(Q$9&lt;=$H21,Q$9+6&gt;=$G21),1,""))</x:f>
      </x:c>
      <x:c r="R21" s="13" t="str">
        <x:f t="shared" si="4">IF(OR($G21="",$H21="",$H21&lt;$G21),"",IF(AND(R$9&lt;=$H21,R$9+6&gt;=$G21),1,""))</x:f>
      </x:c>
      <x:c r="S21" s="12" t="str">
        <x:f t="shared" si="4">IF(OR($G21="",$H21="",$H21&lt;$G21),"",IF(AND(S$9&lt;=$H21,S$9+6&gt;=$G21),1,""))</x:f>
      </x:c>
      <x:c r="T21" s="13" t="str">
        <x:f t="shared" si="4">IF(OR($G21="",$H21="",$H21&lt;$G21),"",IF(AND(T$9&lt;=$H21,T$9+6&gt;=$G21),1,""))</x:f>
      </x:c>
      <x:c r="U21" s="12" t="str">
        <x:f t="shared" si="5">IF(OR($G21="",$H21="",$H21&lt;$G21),"",IF(AND(U$9&lt;=$H21,U$9+6&gt;=$G21),1,""))</x:f>
      </x:c>
      <x:c r="V21" s="13" t="str">
        <x:f t="shared" si="5">IF(OR($G21="",$H21="",$H21&lt;$G21),"",IF(AND(V$9&lt;=$H21,V$9+6&gt;=$G21),1,""))</x:f>
      </x:c>
      <x:c r="W21" s="12" t="str">
        <x:f t="shared" si="5">IF(OR($G21="",$H21="",$H21&lt;$G21),"",IF(AND(W$9&lt;=$H21,W$9+6&gt;=$G21),1,""))</x:f>
      </x:c>
      <x:c r="X21" s="13" t="str">
        <x:f t="shared" si="5">IF(OR($G21="",$H21="",$H21&lt;$G21),"",IF(AND(X$9&lt;=$H21,X$9+6&gt;=$G21),1,""))</x:f>
      </x:c>
      <x:c r="Y21" s="12" t="str">
        <x:f t="shared" si="5">IF(OR($G21="",$H21="",$H21&lt;$G21),"",IF(AND(Y$9&lt;=$H21,Y$9+6&gt;=$G21),1,""))</x:f>
      </x:c>
      <x:c r="Z21" s="13" t="str">
        <x:f t="shared" si="5">IF(OR($G21="",$H21="",$H21&lt;$G21),"",IF(AND(Z$9&lt;=$H21,Z$9+6&gt;=$G21),1,""))</x:f>
      </x:c>
      <x:c r="AA21" s="12" t="str">
        <x:f t="shared" si="5">IF(OR($G21="",$H21="",$H21&lt;$G21),"",IF(AND(AA$9&lt;=$H21,AA$9+6&gt;=$G21),1,""))</x:f>
      </x:c>
      <x:c r="AB21" s="13" t="str">
        <x:f t="shared" si="5">IF(OR($G21="",$H21="",$H21&lt;$G21),"",IF(AND(AB$9&lt;=$H21,AB$9+6&gt;=$G21),1,""))</x:f>
      </x:c>
      <x:c r="AC21" s="12" t="str">
        <x:f t="shared" si="5">IF(OR($G21="",$H21="",$H21&lt;$G21),"",IF(AND(AC$9&lt;=$H21,AC$9+6&gt;=$G21),1,""))</x:f>
      </x:c>
      <x:c r="AD21" s="13" t="str">
        <x:f t="shared" si="5">IF(OR($G21="",$H21="",$H21&lt;$G21),"",IF(AND(AD$9&lt;=$H21,AD$9+6&gt;=$G21),1,""))</x:f>
      </x:c>
    </x:row>
    <x:row r="22" ht="24" customHeight="1">
      <x:c r="B22" s="54" t="str">
        <x:v>Historial</x:v>
      </x:c>
      <x:c r="C22" s="56" t="str">
        <x:v>Congelar curso, jornada, regla y minutos por ingreso</x:v>
      </x:c>
      <x:c r="D22" s="57" t="str">
        <x:v>Codex</x:v>
      </x:c>
      <x:c r="E22" s="7" t="str">
        <x:v>Completada</x:v>
      </x:c>
      <x:c r="F22" s="7" t="str">
        <x:v>P0</x:v>
      </x:c>
      <x:c r="G22" s="48" t="n">
        <x:v>46231</x:v>
      </x:c>
      <x:c r="H22" s="48" t="n">
        <x:v>46231</x:v>
      </x:c>
      <x:c r="I22" s="11" t="n">
        <x:f t="shared" si="1">IF(OR(G22="",H22="",H22&lt;G22),"",H22-G22+1)</x:f>
        <x:v>1</x:v>
      </x:c>
      <x:c r="J22" s="15"/>
      <x:c r="K22" s="12" t="n">
        <x:f t="shared" si="4">IF(OR($G22="",$H22="",$H22&lt;$G22),"",IF(AND(K$9&lt;=$H22,K$9+6&gt;=$G22),1,""))</x:f>
        <x:v>1</x:v>
      </x:c>
      <x:c r="L22" s="13" t="str">
        <x:f t="shared" si="4">IF(OR($G22="",$H22="",$H22&lt;$G22),"",IF(AND(L$9&lt;=$H22,L$9+6&gt;=$G22),1,""))</x:f>
      </x:c>
      <x:c r="M22" s="12" t="str">
        <x:f t="shared" si="4">IF(OR($G22="",$H22="",$H22&lt;$G22),"",IF(AND(M$9&lt;=$H22,M$9+6&gt;=$G22),1,""))</x:f>
      </x:c>
      <x:c r="N22" s="13" t="str">
        <x:f t="shared" si="4">IF(OR($G22="",$H22="",$H22&lt;$G22),"",IF(AND(N$9&lt;=$H22,N$9+6&gt;=$G22),1,""))</x:f>
      </x:c>
      <x:c r="O22" s="12" t="str">
        <x:f t="shared" si="4">IF(OR($G22="",$H22="",$H22&lt;$G22),"",IF(AND(O$9&lt;=$H22,O$9+6&gt;=$G22),1,""))</x:f>
      </x:c>
      <x:c r="P22" s="13" t="str">
        <x:f t="shared" si="4">IF(OR($G22="",$H22="",$H22&lt;$G22),"",IF(AND(P$9&lt;=$H22,P$9+6&gt;=$G22),1,""))</x:f>
      </x:c>
      <x:c r="Q22" s="12" t="str">
        <x:f t="shared" si="4">IF(OR($G22="",$H22="",$H22&lt;$G22),"",IF(AND(Q$9&lt;=$H22,Q$9+6&gt;=$G22),1,""))</x:f>
      </x:c>
      <x:c r="R22" s="13" t="str">
        <x:f t="shared" si="4">IF(OR($G22="",$H22="",$H22&lt;$G22),"",IF(AND(R$9&lt;=$H22,R$9+6&gt;=$G22),1,""))</x:f>
      </x:c>
      <x:c r="S22" s="12" t="str">
        <x:f t="shared" si="4">IF(OR($G22="",$H22="",$H22&lt;$G22),"",IF(AND(S$9&lt;=$H22,S$9+6&gt;=$G22),1,""))</x:f>
      </x:c>
      <x:c r="T22" s="13" t="str">
        <x:f t="shared" si="4">IF(OR($G22="",$H22="",$H22&lt;$G22),"",IF(AND(T$9&lt;=$H22,T$9+6&gt;=$G22),1,""))</x:f>
      </x:c>
      <x:c r="U22" s="12" t="str">
        <x:f t="shared" si="5">IF(OR($G22="",$H22="",$H22&lt;$G22),"",IF(AND(U$9&lt;=$H22,U$9+6&gt;=$G22),1,""))</x:f>
      </x:c>
      <x:c r="V22" s="13" t="str">
        <x:f t="shared" si="5">IF(OR($G22="",$H22="",$H22&lt;$G22),"",IF(AND(V$9&lt;=$H22,V$9+6&gt;=$G22),1,""))</x:f>
      </x:c>
      <x:c r="W22" s="12" t="str">
        <x:f t="shared" si="5">IF(OR($G22="",$H22="",$H22&lt;$G22),"",IF(AND(W$9&lt;=$H22,W$9+6&gt;=$G22),1,""))</x:f>
      </x:c>
      <x:c r="X22" s="13" t="str">
        <x:f t="shared" si="5">IF(OR($G22="",$H22="",$H22&lt;$G22),"",IF(AND(X$9&lt;=$H22,X$9+6&gt;=$G22),1,""))</x:f>
      </x:c>
      <x:c r="Y22" s="12" t="str">
        <x:f t="shared" si="5">IF(OR($G22="",$H22="",$H22&lt;$G22),"",IF(AND(Y$9&lt;=$H22,Y$9+6&gt;=$G22),1,""))</x:f>
      </x:c>
      <x:c r="Z22" s="13" t="str">
        <x:f t="shared" si="5">IF(OR($G22="",$H22="",$H22&lt;$G22),"",IF(AND(Z$9&lt;=$H22,Z$9+6&gt;=$G22),1,""))</x:f>
      </x:c>
      <x:c r="AA22" s="12" t="str">
        <x:f t="shared" si="5">IF(OR($G22="",$H22="",$H22&lt;$G22),"",IF(AND(AA$9&lt;=$H22,AA$9+6&gt;=$G22),1,""))</x:f>
      </x:c>
      <x:c r="AB22" s="13" t="str">
        <x:f t="shared" si="5">IF(OR($G22="",$H22="",$H22&lt;$G22),"",IF(AND(AB$9&lt;=$H22,AB$9+6&gt;=$G22),1,""))</x:f>
      </x:c>
      <x:c r="AC22" s="12" t="str">
        <x:f t="shared" si="5">IF(OR($G22="",$H22="",$H22&lt;$G22),"",IF(AND(AC$9&lt;=$H22,AC$9+6&gt;=$G22),1,""))</x:f>
      </x:c>
      <x:c r="AD22" s="13" t="str">
        <x:f t="shared" si="5">IF(OR($G22="",$H22="",$H22&lt;$G22),"",IF(AND(AD$9&lt;=$H22,AD$9+6&gt;=$G22),1,""))</x:f>
      </x:c>
    </x:row>
    <x:row r="23" ht="24" customHeight="1">
      <x:c r="B23" s="55" t="str">
        <x:v>Importación</x:v>
      </x:c>
      <x:c r="C23" s="58" t="str">
        <x:v>Previsualización, conflictos y cursos controlados</x:v>
      </x:c>
      <x:c r="D23" s="59" t="str">
        <x:v>Codex</x:v>
      </x:c>
      <x:c r="E23" s="8" t="str">
        <x:v>Completada</x:v>
      </x:c>
      <x:c r="F23" s="8" t="str">
        <x:v>P0</x:v>
      </x:c>
      <x:c r="G23" s="49" t="n">
        <x:v>46231</x:v>
      </x:c>
      <x:c r="H23" s="49" t="n">
        <x:v>46231</x:v>
      </x:c>
      <x:c r="I23" s="11" t="n">
        <x:f t="shared" si="1">IF(OR(G23="",H23="",H23&lt;G23),"",H23-G23+1)</x:f>
        <x:v>1</x:v>
      </x:c>
      <x:c r="J23" s="15"/>
      <x:c r="K23" s="12" t="n">
        <x:f t="shared" si="4">IF(OR($G23="",$H23="",$H23&lt;$G23),"",IF(AND(K$9&lt;=$H23,K$9+6&gt;=$G23),1,""))</x:f>
        <x:v>1</x:v>
      </x:c>
      <x:c r="L23" s="13" t="str">
        <x:f t="shared" si="4">IF(OR($G23="",$H23="",$H23&lt;$G23),"",IF(AND(L$9&lt;=$H23,L$9+6&gt;=$G23),1,""))</x:f>
      </x:c>
      <x:c r="M23" s="12" t="str">
        <x:f t="shared" si="4">IF(OR($G23="",$H23="",$H23&lt;$G23),"",IF(AND(M$9&lt;=$H23,M$9+6&gt;=$G23),1,""))</x:f>
      </x:c>
      <x:c r="N23" s="13" t="str">
        <x:f t="shared" si="4">IF(OR($G23="",$H23="",$H23&lt;$G23),"",IF(AND(N$9&lt;=$H23,N$9+6&gt;=$G23),1,""))</x:f>
      </x:c>
      <x:c r="O23" s="12" t="str">
        <x:f t="shared" si="4">IF(OR($G23="",$H23="",$H23&lt;$G23),"",IF(AND(O$9&lt;=$H23,O$9+6&gt;=$G23),1,""))</x:f>
      </x:c>
      <x:c r="P23" s="13" t="str">
        <x:f t="shared" si="4">IF(OR($G23="",$H23="",$H23&lt;$G23),"",IF(AND(P$9&lt;=$H23,P$9+6&gt;=$G23),1,""))</x:f>
      </x:c>
      <x:c r="Q23" s="12" t="str">
        <x:f t="shared" si="4">IF(OR($G23="",$H23="",$H23&lt;$G23),"",IF(AND(Q$9&lt;=$H23,Q$9+6&gt;=$G23),1,""))</x:f>
      </x:c>
      <x:c r="R23" s="13" t="str">
        <x:f t="shared" si="4">IF(OR($G23="",$H23="",$H23&lt;$G23),"",IF(AND(R$9&lt;=$H23,R$9+6&gt;=$G23),1,""))</x:f>
      </x:c>
      <x:c r="S23" s="12" t="str">
        <x:f t="shared" si="4">IF(OR($G23="",$H23="",$H23&lt;$G23),"",IF(AND(S$9&lt;=$H23,S$9+6&gt;=$G23),1,""))</x:f>
      </x:c>
      <x:c r="T23" s="13" t="str">
        <x:f t="shared" si="4">IF(OR($G23="",$H23="",$H23&lt;$G23),"",IF(AND(T$9&lt;=$H23,T$9+6&gt;=$G23),1,""))</x:f>
      </x:c>
      <x:c r="U23" s="12" t="str">
        <x:f t="shared" si="5">IF(OR($G23="",$H23="",$H23&lt;$G23),"",IF(AND(U$9&lt;=$H23,U$9+6&gt;=$G23),1,""))</x:f>
      </x:c>
      <x:c r="V23" s="13" t="str">
        <x:f t="shared" si="5">IF(OR($G23="",$H23="",$H23&lt;$G23),"",IF(AND(V$9&lt;=$H23,V$9+6&gt;=$G23),1,""))</x:f>
      </x:c>
      <x:c r="W23" s="12" t="str">
        <x:f t="shared" si="5">IF(OR($G23="",$H23="",$H23&lt;$G23),"",IF(AND(W$9&lt;=$H23,W$9+6&gt;=$G23),1,""))</x:f>
      </x:c>
      <x:c r="X23" s="13" t="str">
        <x:f t="shared" si="5">IF(OR($G23="",$H23="",$H23&lt;$G23),"",IF(AND(X$9&lt;=$H23,X$9+6&gt;=$G23),1,""))</x:f>
      </x:c>
      <x:c r="Y23" s="12" t="str">
        <x:f t="shared" si="5">IF(OR($G23="",$H23="",$H23&lt;$G23),"",IF(AND(Y$9&lt;=$H23,Y$9+6&gt;=$G23),1,""))</x:f>
      </x:c>
      <x:c r="Z23" s="13" t="str">
        <x:f t="shared" si="5">IF(OR($G23="",$H23="",$H23&lt;$G23),"",IF(AND(Z$9&lt;=$H23,Z$9+6&gt;=$G23),1,""))</x:f>
      </x:c>
      <x:c r="AA23" s="12" t="str">
        <x:f t="shared" si="5">IF(OR($G23="",$H23="",$H23&lt;$G23),"",IF(AND(AA$9&lt;=$H23,AA$9+6&gt;=$G23),1,""))</x:f>
      </x:c>
      <x:c r="AB23" s="13" t="str">
        <x:f t="shared" si="5">IF(OR($G23="",$H23="",$H23&lt;$G23),"",IF(AND(AB$9&lt;=$H23,AB$9+6&gt;=$G23),1,""))</x:f>
      </x:c>
      <x:c r="AC23" s="12" t="str">
        <x:f t="shared" si="5">IF(OR($G23="",$H23="",$H23&lt;$G23),"",IF(AND(AC$9&lt;=$H23,AC$9+6&gt;=$G23),1,""))</x:f>
      </x:c>
      <x:c r="AD23" s="13" t="str">
        <x:f t="shared" si="5">IF(OR($G23="",$H23="",$H23&lt;$G23),"",IF(AND(AD$9&lt;=$H23,AD$9+6&gt;=$G23),1,""))</x:f>
      </x:c>
    </x:row>
    <x:row r="24" ht="24" customHeight="1">
      <x:c r="B24" s="54" t="str">
        <x:v>Operación</x:v>
      </x:c>
      <x:c r="C24" s="56" t="str">
        <x:v>Bandeja diaria y cierre de visitas y retiros</x:v>
      </x:c>
      <x:c r="D24" s="57" t="str">
        <x:v>Codex</x:v>
      </x:c>
      <x:c r="E24" s="7" t="str">
        <x:v>Completada</x:v>
      </x:c>
      <x:c r="F24" s="7" t="str">
        <x:v>P0</x:v>
      </x:c>
      <x:c r="G24" s="48" t="n">
        <x:v>46231</x:v>
      </x:c>
      <x:c r="H24" s="48" t="n">
        <x:v>46231</x:v>
      </x:c>
      <x:c r="I24" s="11" t="n">
        <x:f t="shared" si="1">IF(OR(G24="",H24="",H24&lt;G24),"",H24-G24+1)</x:f>
        <x:v>1</x:v>
      </x:c>
      <x:c r="J24" s="15"/>
      <x:c r="K24" s="12" t="n">
        <x:f t="shared" si="4">IF(OR($G24="",$H24="",$H24&lt;$G24),"",IF(AND(K$9&lt;=$H24,K$9+6&gt;=$G24),1,""))</x:f>
        <x:v>1</x:v>
      </x:c>
      <x:c r="L24" s="13" t="str">
        <x:f t="shared" si="4">IF(OR($G24="",$H24="",$H24&lt;$G24),"",IF(AND(L$9&lt;=$H24,L$9+6&gt;=$G24),1,""))</x:f>
      </x:c>
      <x:c r="M24" s="12" t="str">
        <x:f t="shared" si="4">IF(OR($G24="",$H24="",$H24&lt;$G24),"",IF(AND(M$9&lt;=$H24,M$9+6&gt;=$G24),1,""))</x:f>
      </x:c>
      <x:c r="N24" s="13" t="str">
        <x:f t="shared" si="4">IF(OR($G24="",$H24="",$H24&lt;$G24),"",IF(AND(N$9&lt;=$H24,N$9+6&gt;=$G24),1,""))</x:f>
      </x:c>
      <x:c r="O24" s="12" t="str">
        <x:f t="shared" si="4">IF(OR($G24="",$H24="",$H24&lt;$G24),"",IF(AND(O$9&lt;=$H24,O$9+6&gt;=$G24),1,""))</x:f>
      </x:c>
      <x:c r="P24" s="13" t="str">
        <x:f t="shared" si="4">IF(OR($G24="",$H24="",$H24&lt;$G24),"",IF(AND(P$9&lt;=$H24,P$9+6&gt;=$G24),1,""))</x:f>
      </x:c>
      <x:c r="Q24" s="12" t="str">
        <x:f t="shared" si="4">IF(OR($G24="",$H24="",$H24&lt;$G24),"",IF(AND(Q$9&lt;=$H24,Q$9+6&gt;=$G24),1,""))</x:f>
      </x:c>
      <x:c r="R24" s="13" t="str">
        <x:f t="shared" si="4">IF(OR($G24="",$H24="",$H24&lt;$G24),"",IF(AND(R$9&lt;=$H24,R$9+6&gt;=$G24),1,""))</x:f>
      </x:c>
      <x:c r="S24" s="12" t="str">
        <x:f t="shared" si="4">IF(OR($G24="",$H24="",$H24&lt;$G24),"",IF(AND(S$9&lt;=$H24,S$9+6&gt;=$G24),1,""))</x:f>
      </x:c>
      <x:c r="T24" s="13" t="str">
        <x:f t="shared" si="4">IF(OR($G24="",$H24="",$H24&lt;$G24),"",IF(AND(T$9&lt;=$H24,T$9+6&gt;=$G24),1,""))</x:f>
      </x:c>
      <x:c r="U24" s="12" t="str">
        <x:f t="shared" si="5">IF(OR($G24="",$H24="",$H24&lt;$G24),"",IF(AND(U$9&lt;=$H24,U$9+6&gt;=$G24),1,""))</x:f>
      </x:c>
      <x:c r="V24" s="13" t="str">
        <x:f t="shared" si="5">IF(OR($G24="",$H24="",$H24&lt;$G24),"",IF(AND(V$9&lt;=$H24,V$9+6&gt;=$G24),1,""))</x:f>
      </x:c>
      <x:c r="W24" s="12" t="str">
        <x:f t="shared" si="5">IF(OR($G24="",$H24="",$H24&lt;$G24),"",IF(AND(W$9&lt;=$H24,W$9+6&gt;=$G24),1,""))</x:f>
      </x:c>
      <x:c r="X24" s="13" t="str">
        <x:f t="shared" si="5">IF(OR($G24="",$H24="",$H24&lt;$G24),"",IF(AND(X$9&lt;=$H24,X$9+6&gt;=$G24),1,""))</x:f>
      </x:c>
      <x:c r="Y24" s="12" t="str">
        <x:f t="shared" si="5">IF(OR($G24="",$H24="",$H24&lt;$G24),"",IF(AND(Y$9&lt;=$H24,Y$9+6&gt;=$G24),1,""))</x:f>
      </x:c>
      <x:c r="Z24" s="13" t="str">
        <x:f t="shared" si="5">IF(OR($G24="",$H24="",$H24&lt;$G24),"",IF(AND(Z$9&lt;=$H24,Z$9+6&gt;=$G24),1,""))</x:f>
      </x:c>
      <x:c r="AA24" s="12" t="str">
        <x:f t="shared" si="5">IF(OR($G24="",$H24="",$H24&lt;$G24),"",IF(AND(AA$9&lt;=$H24,AA$9+6&gt;=$G24),1,""))</x:f>
      </x:c>
      <x:c r="AB24" s="13" t="str">
        <x:f t="shared" si="5">IF(OR($G24="",$H24="",$H24&lt;$G24),"",IF(AND(AB$9&lt;=$H24,AB$9+6&gt;=$G24),1,""))</x:f>
      </x:c>
      <x:c r="AC24" s="12" t="str">
        <x:f t="shared" si="5">IF(OR($G24="",$H24="",$H24&lt;$G24),"",IF(AND(AC$9&lt;=$H24,AC$9+6&gt;=$G24),1,""))</x:f>
      </x:c>
      <x:c r="AD24" s="13" t="str">
        <x:f t="shared" si="5">IF(OR($G24="",$H24="",$H24&lt;$G24),"",IF(AND(AD$9&lt;=$H24,AD$9+6&gt;=$G24),1,""))</x:f>
      </x:c>
    </x:row>
    <x:row r="25" ht="24" customHeight="1">
      <x:c r="B25" s="55" t="str">
        <x:v>Familias</x:v>
      </x:c>
      <x:c r="C25" s="58" t="str">
        <x:v>Ficha familiar y catálogos institucionales</x:v>
      </x:c>
      <x:c r="D25" s="59" t="str">
        <x:v>Codex</x:v>
      </x:c>
      <x:c r="E25" s="8" t="str">
        <x:v>Completada</x:v>
      </x:c>
      <x:c r="F25" s="8" t="str">
        <x:v>P1</x:v>
      </x:c>
      <x:c r="G25" s="49" t="n">
        <x:v>46231</x:v>
      </x:c>
      <x:c r="H25" s="49" t="n">
        <x:v>46231</x:v>
      </x:c>
      <x:c r="I25" s="11" t="n">
        <x:f t="shared" si="1">IF(OR(G25="",H25="",H25&lt;G25),"",H25-G25+1)</x:f>
        <x:v>1</x:v>
      </x:c>
      <x:c r="J25" s="15"/>
      <x:c r="K25" s="12" t="n">
        <x:f t="shared" si="4">IF(OR($G25="",$H25="",$H25&lt;$G25),"",IF(AND(K$9&lt;=$H25,K$9+6&gt;=$G25),1,""))</x:f>
        <x:v>1</x:v>
      </x:c>
      <x:c r="L25" s="13" t="str">
        <x:f t="shared" si="4">IF(OR($G25="",$H25="",$H25&lt;$G25),"",IF(AND(L$9&lt;=$H25,L$9+6&gt;=$G25),1,""))</x:f>
      </x:c>
      <x:c r="M25" s="12" t="str">
        <x:f t="shared" si="4">IF(OR($G25="",$H25="",$H25&lt;$G25),"",IF(AND(M$9&lt;=$H25,M$9+6&gt;=$G25),1,""))</x:f>
      </x:c>
      <x:c r="N25" s="13" t="str">
        <x:f t="shared" si="4">IF(OR($G25="",$H25="",$H25&lt;$G25),"",IF(AND(N$9&lt;=$H25,N$9+6&gt;=$G25),1,""))</x:f>
      </x:c>
      <x:c r="O25" s="12" t="str">
        <x:f t="shared" si="4">IF(OR($G25="",$H25="",$H25&lt;$G25),"",IF(AND(O$9&lt;=$H25,O$9+6&gt;=$G25),1,""))</x:f>
      </x:c>
      <x:c r="P25" s="13" t="str">
        <x:f t="shared" si="4">IF(OR($G25="",$H25="",$H25&lt;$G25),"",IF(AND(P$9&lt;=$H25,P$9+6&gt;=$G25),1,""))</x:f>
      </x:c>
      <x:c r="Q25" s="12" t="str">
        <x:f t="shared" si="4">IF(OR($G25="",$H25="",$H25&lt;$G25),"",IF(AND(Q$9&lt;=$H25,Q$9+6&gt;=$G25),1,""))</x:f>
      </x:c>
      <x:c r="R25" s="13" t="str">
        <x:f t="shared" si="4">IF(OR($G25="",$H25="",$H25&lt;$G25),"",IF(AND(R$9&lt;=$H25,R$9+6&gt;=$G25),1,""))</x:f>
      </x:c>
      <x:c r="S25" s="12" t="str">
        <x:f t="shared" si="4">IF(OR($G25="",$H25="",$H25&lt;$G25),"",IF(AND(S$9&lt;=$H25,S$9+6&gt;=$G25),1,""))</x:f>
      </x:c>
      <x:c r="T25" s="13" t="str">
        <x:f t="shared" si="4">IF(OR($G25="",$H25="",$H25&lt;$G25),"",IF(AND(T$9&lt;=$H25,T$9+6&gt;=$G25),1,""))</x:f>
      </x:c>
      <x:c r="U25" s="12" t="str">
        <x:f t="shared" si="5">IF(OR($G25="",$H25="",$H25&lt;$G25),"",IF(AND(U$9&lt;=$H25,U$9+6&gt;=$G25),1,""))</x:f>
      </x:c>
      <x:c r="V25" s="13" t="str">
        <x:f t="shared" si="5">IF(OR($G25="",$H25="",$H25&lt;$G25),"",IF(AND(V$9&lt;=$H25,V$9+6&gt;=$G25),1,""))</x:f>
      </x:c>
      <x:c r="W25" s="12" t="str">
        <x:f t="shared" si="5">IF(OR($G25="",$H25="",$H25&lt;$G25),"",IF(AND(W$9&lt;=$H25,W$9+6&gt;=$G25),1,""))</x:f>
      </x:c>
      <x:c r="X25" s="13" t="str">
        <x:f t="shared" si="5">IF(OR($G25="",$H25="",$H25&lt;$G25),"",IF(AND(X$9&lt;=$H25,X$9+6&gt;=$G25),1,""))</x:f>
      </x:c>
      <x:c r="Y25" s="12" t="str">
        <x:f t="shared" si="5">IF(OR($G25="",$H25="",$H25&lt;$G25),"",IF(AND(Y$9&lt;=$H25,Y$9+6&gt;=$G25),1,""))</x:f>
      </x:c>
      <x:c r="Z25" s="13" t="str">
        <x:f t="shared" si="5">IF(OR($G25="",$H25="",$H25&lt;$G25),"",IF(AND(Z$9&lt;=$H25,Z$9+6&gt;=$G25),1,""))</x:f>
      </x:c>
      <x:c r="AA25" s="12" t="str">
        <x:f t="shared" si="5">IF(OR($G25="",$H25="",$H25&lt;$G25),"",IF(AND(AA$9&lt;=$H25,AA$9+6&gt;=$G25),1,""))</x:f>
      </x:c>
      <x:c r="AB25" s="13" t="str">
        <x:f t="shared" si="5">IF(OR($G25="",$H25="",$H25&lt;$G25),"",IF(AND(AB$9&lt;=$H25,AB$9+6&gt;=$G25),1,""))</x:f>
      </x:c>
      <x:c r="AC25" s="12" t="str">
        <x:f t="shared" si="5">IF(OR($G25="",$H25="",$H25&lt;$G25),"",IF(AND(AC$9&lt;=$H25,AC$9+6&gt;=$G25),1,""))</x:f>
      </x:c>
      <x:c r="AD25" s="13" t="str">
        <x:f t="shared" si="5">IF(OR($G25="",$H25="",$H25&lt;$G25),"",IF(AND(AD$9&lt;=$H25,AD$9+6&gt;=$G25),1,""))</x:f>
      </x:c>
    </x:row>
    <x:row r="26" ht="24" customHeight="1">
      <x:c r="B26" s="54" t="str">
        <x:v>Recuperación</x:v>
      </x:c>
      <x:c r="C26" s="56" t="str">
        <x:v>Restauración aislada y configuración estricta</x:v>
      </x:c>
      <x:c r="D26" s="57" t="str">
        <x:v>Codex</x:v>
      </x:c>
      <x:c r="E26" s="7" t="str">
        <x:v>Completada</x:v>
      </x:c>
      <x:c r="F26" s="7" t="str">
        <x:v>P0</x:v>
      </x:c>
      <x:c r="G26" s="48" t="n">
        <x:v>46231</x:v>
      </x:c>
      <x:c r="H26" s="48" t="n">
        <x:v>46231</x:v>
      </x:c>
      <x:c r="I26" s="11" t="n">
        <x:f t="shared" si="1">IF(OR(G26="",H26="",H26&lt;G26),"",H26-G26+1)</x:f>
        <x:v>1</x:v>
      </x:c>
      <x:c r="J26" s="15"/>
      <x:c r="K26" s="12" t="n">
        <x:f t="shared" si="4">IF(OR($G26="",$H26="",$H26&lt;$G26),"",IF(AND(K$9&lt;=$H26,K$9+6&gt;=$G26),1,""))</x:f>
        <x:v>1</x:v>
      </x:c>
      <x:c r="L26" s="13" t="str">
        <x:f t="shared" si="4">IF(OR($G26="",$H26="",$H26&lt;$G26),"",IF(AND(L$9&lt;=$H26,L$9+6&gt;=$G26),1,""))</x:f>
      </x:c>
      <x:c r="M26" s="12" t="str">
        <x:f t="shared" si="4">IF(OR($G26="",$H26="",$H26&lt;$G26),"",IF(AND(M$9&lt;=$H26,M$9+6&gt;=$G26),1,""))</x:f>
      </x:c>
      <x:c r="N26" s="13" t="str">
        <x:f t="shared" si="4">IF(OR($G26="",$H26="",$H26&lt;$G26),"",IF(AND(N$9&lt;=$H26,N$9+6&gt;=$G26),1,""))</x:f>
      </x:c>
      <x:c r="O26" s="12" t="str">
        <x:f t="shared" si="4">IF(OR($G26="",$H26="",$H26&lt;$G26),"",IF(AND(O$9&lt;=$H26,O$9+6&gt;=$G26),1,""))</x:f>
      </x:c>
      <x:c r="P26" s="13" t="str">
        <x:f t="shared" si="4">IF(OR($G26="",$H26="",$H26&lt;$G26),"",IF(AND(P$9&lt;=$H26,P$9+6&gt;=$G26),1,""))</x:f>
      </x:c>
      <x:c r="Q26" s="12" t="str">
        <x:f t="shared" si="4">IF(OR($G26="",$H26="",$H26&lt;$G26),"",IF(AND(Q$9&lt;=$H26,Q$9+6&gt;=$G26),1,""))</x:f>
      </x:c>
      <x:c r="R26" s="13" t="str">
        <x:f t="shared" si="4">IF(OR($G26="",$H26="",$H26&lt;$G26),"",IF(AND(R$9&lt;=$H26,R$9+6&gt;=$G26),1,""))</x:f>
      </x:c>
      <x:c r="S26" s="12" t="str">
        <x:f t="shared" si="4">IF(OR($G26="",$H26="",$H26&lt;$G26),"",IF(AND(S$9&lt;=$H26,S$9+6&gt;=$G26),1,""))</x:f>
      </x:c>
      <x:c r="T26" s="13" t="str">
        <x:f t="shared" si="4">IF(OR($G26="",$H26="",$H26&lt;$G26),"",IF(AND(T$9&lt;=$H26,T$9+6&gt;=$G26),1,""))</x:f>
      </x:c>
      <x:c r="U26" s="12" t="str">
        <x:f t="shared" si="5">IF(OR($G26="",$H26="",$H26&lt;$G26),"",IF(AND(U$9&lt;=$H26,U$9+6&gt;=$G26),1,""))</x:f>
      </x:c>
      <x:c r="V26" s="13" t="str">
        <x:f t="shared" si="5">IF(OR($G26="",$H26="",$H26&lt;$G26),"",IF(AND(V$9&lt;=$H26,V$9+6&gt;=$G26),1,""))</x:f>
      </x:c>
      <x:c r="W26" s="12" t="str">
        <x:f t="shared" si="5">IF(OR($G26="",$H26="",$H26&lt;$G26),"",IF(AND(W$9&lt;=$H26,W$9+6&gt;=$G26),1,""))</x:f>
      </x:c>
      <x:c r="X26" s="13" t="str">
        <x:f t="shared" si="5">IF(OR($G26="",$H26="",$H26&lt;$G26),"",IF(AND(X$9&lt;=$H26,X$9+6&gt;=$G26),1,""))</x:f>
      </x:c>
      <x:c r="Y26" s="12" t="str">
        <x:f t="shared" si="5">IF(OR($G26="",$H26="",$H26&lt;$G26),"",IF(AND(Y$9&lt;=$H26,Y$9+6&gt;=$G26),1,""))</x:f>
      </x:c>
      <x:c r="Z26" s="13" t="str">
        <x:f t="shared" si="5">IF(OR($G26="",$H26="",$H26&lt;$G26),"",IF(AND(Z$9&lt;=$H26,Z$9+6&gt;=$G26),1,""))</x:f>
      </x:c>
      <x:c r="AA26" s="12" t="str">
        <x:f t="shared" si="5">IF(OR($G26="",$H26="",$H26&lt;$G26),"",IF(AND(AA$9&lt;=$H26,AA$9+6&gt;=$G26),1,""))</x:f>
      </x:c>
      <x:c r="AB26" s="13" t="str">
        <x:f t="shared" si="5">IF(OR($G26="",$H26="",$H26&lt;$G26),"",IF(AND(AB$9&lt;=$H26,AB$9+6&gt;=$G26),1,""))</x:f>
      </x:c>
      <x:c r="AC26" s="12" t="str">
        <x:f t="shared" si="5">IF(OR($G26="",$H26="",$H26&lt;$G26),"",IF(AND(AC$9&lt;=$H26,AC$9+6&gt;=$G26),1,""))</x:f>
      </x:c>
      <x:c r="AD26" s="13" t="str">
        <x:f t="shared" si="5">IF(OR($G26="",$H26="",$H26&lt;$G26),"",IF(AND(AD$9&lt;=$H26,AD$9+6&gt;=$G26),1,""))</x:f>
      </x:c>
    </x:row>
    <x:row r="27" ht="24" customHeight="1">
      <x:c r="B27" s="55" t="str">
        <x:v>UI responsive</x:v>
      </x:c>
      <x:c r="C27" s="58" t="str">
        <x:v>Changelog adaptable a móvil y zoom de 125% a 200%</x:v>
      </x:c>
      <x:c r="D27" s="59" t="str">
        <x:v>Codex</x:v>
      </x:c>
      <x:c r="E27" s="8" t="str">
        <x:v>Completada</x:v>
      </x:c>
      <x:c r="F27" s="8" t="str">
        <x:v>P1</x:v>
      </x:c>
      <x:c r="G27" s="49" t="n">
        <x:v>46235</x:v>
      </x:c>
      <x:c r="H27" s="49" t="n">
        <x:v>46235</x:v>
      </x:c>
      <x:c r="I27" s="11" t="n">
        <x:f t="shared" si="1">IF(OR(G27="",H27="",H27&lt;G27),"",H27-G27+1)</x:f>
        <x:v>1</x:v>
      </x:c>
      <x:c r="J27" s="15"/>
      <x:c r="K27" s="12" t="n">
        <x:f t="shared" si="4">IF(OR($G27="",$H27="",$H27&lt;$G27),"",IF(AND(K$9&lt;=$H27,K$9+6&gt;=$G27),1,""))</x:f>
        <x:v>1</x:v>
      </x:c>
      <x:c r="L27" s="13" t="str">
        <x:f t="shared" si="4">IF(OR($G27="",$H27="",$H27&lt;$G27),"",IF(AND(L$9&lt;=$H27,L$9+6&gt;=$G27),1,""))</x:f>
      </x:c>
      <x:c r="M27" s="12" t="str">
        <x:f t="shared" si="4">IF(OR($G27="",$H27="",$H27&lt;$G27),"",IF(AND(M$9&lt;=$H27,M$9+6&gt;=$G27),1,""))</x:f>
      </x:c>
      <x:c r="N27" s="13" t="str">
        <x:f t="shared" si="4">IF(OR($G27="",$H27="",$H27&lt;$G27),"",IF(AND(N$9&lt;=$H27,N$9+6&gt;=$G27),1,""))</x:f>
      </x:c>
      <x:c r="O27" s="12" t="str">
        <x:f t="shared" si="4">IF(OR($G27="",$H27="",$H27&lt;$G27),"",IF(AND(O$9&lt;=$H27,O$9+6&gt;=$G27),1,""))</x:f>
      </x:c>
      <x:c r="P27" s="13" t="str">
        <x:f t="shared" si="4">IF(OR($G27="",$H27="",$H27&lt;$G27),"",IF(AND(P$9&lt;=$H27,P$9+6&gt;=$G27),1,""))</x:f>
      </x:c>
      <x:c r="Q27" s="12" t="str">
        <x:f t="shared" si="4">IF(OR($G27="",$H27="",$H27&lt;$G27),"",IF(AND(Q$9&lt;=$H27,Q$9+6&gt;=$G27),1,""))</x:f>
      </x:c>
      <x:c r="R27" s="13" t="str">
        <x:f t="shared" si="4">IF(OR($G27="",$H27="",$H27&lt;$G27),"",IF(AND(R$9&lt;=$H27,R$9+6&gt;=$G27),1,""))</x:f>
      </x:c>
      <x:c r="S27" s="12" t="str">
        <x:f t="shared" si="4">IF(OR($G27="",$H27="",$H27&lt;$G27),"",IF(AND(S$9&lt;=$H27,S$9+6&gt;=$G27),1,""))</x:f>
      </x:c>
      <x:c r="T27" s="13" t="str">
        <x:f t="shared" si="4">IF(OR($G27="",$H27="",$H27&lt;$G27),"",IF(AND(T$9&lt;=$H27,T$9+6&gt;=$G27),1,""))</x:f>
      </x:c>
      <x:c r="U27" s="12" t="str">
        <x:f t="shared" si="5">IF(OR($G27="",$H27="",$H27&lt;$G27),"",IF(AND(U$9&lt;=$H27,U$9+6&gt;=$G27),1,""))</x:f>
      </x:c>
      <x:c r="V27" s="13" t="str">
        <x:f t="shared" si="5">IF(OR($G27="",$H27="",$H27&lt;$G27),"",IF(AND(V$9&lt;=$H27,V$9+6&gt;=$G27),1,""))</x:f>
      </x:c>
      <x:c r="W27" s="12" t="str">
        <x:f t="shared" si="5">IF(OR($G27="",$H27="",$H27&lt;$G27),"",IF(AND(W$9&lt;=$H27,W$9+6&gt;=$G27),1,""))</x:f>
      </x:c>
      <x:c r="X27" s="13" t="str">
        <x:f t="shared" si="5">IF(OR($G27="",$H27="",$H27&lt;$G27),"",IF(AND(X$9&lt;=$H27,X$9+6&gt;=$G27),1,""))</x:f>
      </x:c>
      <x:c r="Y27" s="12" t="str">
        <x:f t="shared" si="5">IF(OR($G27="",$H27="",$H27&lt;$G27),"",IF(AND(Y$9&lt;=$H27,Y$9+6&gt;=$G27),1,""))</x:f>
      </x:c>
      <x:c r="Z27" s="13" t="str">
        <x:f t="shared" si="5">IF(OR($G27="",$H27="",$H27&lt;$G27),"",IF(AND(Z$9&lt;=$H27,Z$9+6&gt;=$G27),1,""))</x:f>
      </x:c>
      <x:c r="AA27" s="12" t="str">
        <x:f t="shared" si="5">IF(OR($G27="",$H27="",$H27&lt;$G27),"",IF(AND(AA$9&lt;=$H27,AA$9+6&gt;=$G27),1,""))</x:f>
      </x:c>
      <x:c r="AB27" s="13" t="str">
        <x:f t="shared" si="5">IF(OR($G27="",$H27="",$H27&lt;$G27),"",IF(AND(AB$9&lt;=$H27,AB$9+6&gt;=$G27),1,""))</x:f>
      </x:c>
      <x:c r="AC27" s="12" t="str">
        <x:f t="shared" si="5">IF(OR($G27="",$H27="",$H27&lt;$G27),"",IF(AND(AC$9&lt;=$H27,AC$9+6&gt;=$G27),1,""))</x:f>
      </x:c>
      <x:c r="AD27" s="13" t="str">
        <x:f t="shared" si="5">IF(OR($G27="",$H27="",$H27&lt;$G27),"",IF(AND(AD$9&lt;=$H27,AD$9+6&gt;=$G27),1,""))</x:f>
      </x:c>
    </x:row>
    <x:row r="28" ht="24" customHeight="1">
      <x:c r="B28" s="54" t="str">
        <x:v>Resiliencia UI</x:v>
      </x:c>
      <x:c r="C28" s="56" t="str">
        <x:v>Recuperar automáticamente chunks obsoletos tras actualizar</x:v>
      </x:c>
      <x:c r="D28" s="57" t="str">
        <x:v>Codex</x:v>
      </x:c>
      <x:c r="E28" s="7" t="str">
        <x:v>Completada</x:v>
      </x:c>
      <x:c r="F28" s="7" t="str">
        <x:v>P0</x:v>
      </x:c>
      <x:c r="G28" s="48" t="n">
        <x:v>46235</x:v>
      </x:c>
      <x:c r="H28" s="48" t="n">
        <x:v>46235</x:v>
      </x:c>
      <x:c r="I28" s="11" t="n">
        <x:f t="shared" si="1">IF(OR(G28="",H28="",H28&lt;G28),"",H28-G28+1)</x:f>
        <x:v>1</x:v>
      </x:c>
      <x:c r="J28" s="15"/>
      <x:c r="K28" s="12" t="n">
        <x:f t="shared" si="4">IF(OR($G28="",$H28="",$H28&lt;$G28),"",IF(AND(K$9&lt;=$H28,K$9+6&gt;=$G28),1,""))</x:f>
        <x:v>1</x:v>
      </x:c>
      <x:c r="L28" s="13" t="str">
        <x:f t="shared" si="4">IF(OR($G28="",$H28="",$H28&lt;$G28),"",IF(AND(L$9&lt;=$H28,L$9+6&gt;=$G28),1,""))</x:f>
      </x:c>
      <x:c r="M28" s="12" t="str">
        <x:f t="shared" si="4">IF(OR($G28="",$H28="",$H28&lt;$G28),"",IF(AND(M$9&lt;=$H28,M$9+6&gt;=$G28),1,""))</x:f>
      </x:c>
      <x:c r="N28" s="13" t="str">
        <x:f t="shared" si="4">IF(OR($G28="",$H28="",$H28&lt;$G28),"",IF(AND(N$9&lt;=$H28,N$9+6&gt;=$G28),1,""))</x:f>
      </x:c>
      <x:c r="O28" s="12" t="str">
        <x:f t="shared" si="4">IF(OR($G28="",$H28="",$H28&lt;$G28),"",IF(AND(O$9&lt;=$H28,O$9+6&gt;=$G28),1,""))</x:f>
      </x:c>
      <x:c r="P28" s="13" t="str">
        <x:f t="shared" si="4">IF(OR($G28="",$H28="",$H28&lt;$G28),"",IF(AND(P$9&lt;=$H28,P$9+6&gt;=$G28),1,""))</x:f>
      </x:c>
      <x:c r="Q28" s="12" t="str">
        <x:f t="shared" si="4">IF(OR($G28="",$H28="",$H28&lt;$G28),"",IF(AND(Q$9&lt;=$H28,Q$9+6&gt;=$G28),1,""))</x:f>
      </x:c>
      <x:c r="R28" s="13" t="str">
        <x:f t="shared" si="4">IF(OR($G28="",$H28="",$H28&lt;$G28),"",IF(AND(R$9&lt;=$H28,R$9+6&gt;=$G28),1,""))</x:f>
      </x:c>
      <x:c r="S28" s="12" t="str">
        <x:f t="shared" si="4">IF(OR($G28="",$H28="",$H28&lt;$G28),"",IF(AND(S$9&lt;=$H28,S$9+6&gt;=$G28),1,""))</x:f>
      </x:c>
      <x:c r="T28" s="13" t="str">
        <x:f t="shared" si="4">IF(OR($G28="",$H28="",$H28&lt;$G28),"",IF(AND(T$9&lt;=$H28,T$9+6&gt;=$G28),1,""))</x:f>
      </x:c>
      <x:c r="U28" s="12" t="str">
        <x:f t="shared" si="5">IF(OR($G28="",$H28="",$H28&lt;$G28),"",IF(AND(U$9&lt;=$H28,U$9+6&gt;=$G28),1,""))</x:f>
      </x:c>
      <x:c r="V28" s="13" t="str">
        <x:f t="shared" si="5">IF(OR($G28="",$H28="",$H28&lt;$G28),"",IF(AND(V$9&lt;=$H28,V$9+6&gt;=$G28),1,""))</x:f>
      </x:c>
      <x:c r="W28" s="12" t="str">
        <x:f t="shared" si="5">IF(OR($G28="",$H28="",$H28&lt;$G28),"",IF(AND(W$9&lt;=$H28,W$9+6&gt;=$G28),1,""))</x:f>
      </x:c>
      <x:c r="X28" s="13" t="str">
        <x:f t="shared" si="5">IF(OR($G28="",$H28="",$H28&lt;$G28),"",IF(AND(X$9&lt;=$H28,X$9+6&gt;=$G28),1,""))</x:f>
      </x:c>
      <x:c r="Y28" s="12" t="str">
        <x:f t="shared" si="5">IF(OR($G28="",$H28="",$H28&lt;$G28),"",IF(AND(Y$9&lt;=$H28,Y$9+6&gt;=$G28),1,""))</x:f>
      </x:c>
      <x:c r="Z28" s="13" t="str">
        <x:f t="shared" si="5">IF(OR($G28="",$H28="",$H28&lt;$G28),"",IF(AND(Z$9&lt;=$H28,Z$9+6&gt;=$G28),1,""))</x:f>
      </x:c>
      <x:c r="AA28" s="12" t="str">
        <x:f t="shared" si="5">IF(OR($G28="",$H28="",$H28&lt;$G28),"",IF(AND(AA$9&lt;=$H28,AA$9+6&gt;=$G28),1,""))</x:f>
      </x:c>
      <x:c r="AB28" s="13" t="str">
        <x:f t="shared" si="5">IF(OR($G28="",$H28="",$H28&lt;$G28),"",IF(AND(AB$9&lt;=$H28,AB$9+6&gt;=$G28),1,""))</x:f>
      </x:c>
      <x:c r="AC28" s="12" t="str">
        <x:f t="shared" si="5">IF(OR($G28="",$H28="",$H28&lt;$G28),"",IF(AND(AC$9&lt;=$H28,AC$9+6&gt;=$G28),1,""))</x:f>
      </x:c>
      <x:c r="AD28" s="13" t="str">
        <x:f t="shared" si="5">IF(OR($G28="",$H28="",$H28&lt;$G28),"",IF(AND(AD$9&lt;=$H28,AD$9+6&gt;=$G28),1,""))</x:f>
      </x:c>
    </x:row>
    <x:row r="29" ht="24" customHeight="1">
      <x:c r="B29" s="55" t="str">
        <x:v>UI operativa</x:v>
      </x:c>
      <x:c r="C29" s="58" t="str">
        <x:v>Rediseñar administración de catálogos de visitas</x:v>
      </x:c>
      <x:c r="D29" s="59" t="str">
        <x:v>Codex</x:v>
      </x:c>
      <x:c r="E29" s="8" t="str">
        <x:v>Completada</x:v>
      </x:c>
      <x:c r="F29" s="8" t="str">
        <x:v>P1</x:v>
      </x:c>
      <x:c r="G29" s="49" t="n">
        <x:v>46235</x:v>
      </x:c>
      <x:c r="H29" s="49" t="n">
        <x:v>46235</x:v>
      </x:c>
      <x:c r="I29" s="11" t="n">
        <x:f t="shared" si="1">IF(OR(G29="",H29="",H29&lt;G29),"",H29-G29+1)</x:f>
        <x:v>1</x:v>
      </x:c>
      <x:c r="J29" s="15"/>
      <x:c r="K29" s="12" t="n">
        <x:f t="shared" si="4">IF(OR($G29="",$H29="",$H29&lt;$G29),"",IF(AND(K$9&lt;=$H29,K$9+6&gt;=$G29),1,""))</x:f>
        <x:v>1</x:v>
      </x:c>
      <x:c r="L29" s="13" t="str">
        <x:f t="shared" si="4">IF(OR($G29="",$H29="",$H29&lt;$G29),"",IF(AND(L$9&lt;=$H29,L$9+6&gt;=$G29),1,""))</x:f>
      </x:c>
      <x:c r="M29" s="12" t="str">
        <x:f t="shared" si="4">IF(OR($G29="",$H29="",$H29&lt;$G29),"",IF(AND(M$9&lt;=$H29,M$9+6&gt;=$G29),1,""))</x:f>
      </x:c>
      <x:c r="N29" s="13" t="str">
        <x:f t="shared" si="4">IF(OR($G29="",$H29="",$H29&lt;$G29),"",IF(AND(N$9&lt;=$H29,N$9+6&gt;=$G29),1,""))</x:f>
      </x:c>
      <x:c r="O29" s="12" t="str">
        <x:f t="shared" si="4">IF(OR($G29="",$H29="",$H29&lt;$G29),"",IF(AND(O$9&lt;=$H29,O$9+6&gt;=$G29),1,""))</x:f>
      </x:c>
      <x:c r="P29" s="13" t="str">
        <x:f t="shared" si="4">IF(OR($G29="",$H29="",$H29&lt;$G29),"",IF(AND(P$9&lt;=$H29,P$9+6&gt;=$G29),1,""))</x:f>
      </x:c>
      <x:c r="Q29" s="12" t="str">
        <x:f t="shared" si="4">IF(OR($G29="",$H29="",$H29&lt;$G29),"",IF(AND(Q$9&lt;=$H29,Q$9+6&gt;=$G29),1,""))</x:f>
      </x:c>
      <x:c r="R29" s="13" t="str">
        <x:f t="shared" si="4">IF(OR($G29="",$H29="",$H29&lt;$G29),"",IF(AND(R$9&lt;=$H29,R$9+6&gt;=$G29),1,""))</x:f>
      </x:c>
      <x:c r="S29" s="12" t="str">
        <x:f t="shared" si="4">IF(OR($G29="",$H29="",$H29&lt;$G29),"",IF(AND(S$9&lt;=$H29,S$9+6&gt;=$G29),1,""))</x:f>
      </x:c>
      <x:c r="T29" s="13" t="str">
        <x:f t="shared" si="4">IF(OR($G29="",$H29="",$H29&lt;$G29),"",IF(AND(T$9&lt;=$H29,T$9+6&gt;=$G29),1,""))</x:f>
      </x:c>
      <x:c r="U29" s="12" t="str">
        <x:f t="shared" si="5">IF(OR($G29="",$H29="",$H29&lt;$G29),"",IF(AND(U$9&lt;=$H29,U$9+6&gt;=$G29),1,""))</x:f>
      </x:c>
      <x:c r="V29" s="13" t="str">
        <x:f t="shared" si="5">IF(OR($G29="",$H29="",$H29&lt;$G29),"",IF(AND(V$9&lt;=$H29,V$9+6&gt;=$G29),1,""))</x:f>
      </x:c>
      <x:c r="W29" s="12" t="str">
        <x:f t="shared" si="5">IF(OR($G29="",$H29="",$H29&lt;$G29),"",IF(AND(W$9&lt;=$H29,W$9+6&gt;=$G29),1,""))</x:f>
      </x:c>
      <x:c r="X29" s="13" t="str">
        <x:f t="shared" si="5">IF(OR($G29="",$H29="",$H29&lt;$G29),"",IF(AND(X$9&lt;=$H29,X$9+6&gt;=$G29),1,""))</x:f>
      </x:c>
      <x:c r="Y29" s="12" t="str">
        <x:f t="shared" si="5">IF(OR($G29="",$H29="",$H29&lt;$G29),"",IF(AND(Y$9&lt;=$H29,Y$9+6&gt;=$G29),1,""))</x:f>
      </x:c>
      <x:c r="Z29" s="13" t="str">
        <x:f t="shared" si="5">IF(OR($G29="",$H29="",$H29&lt;$G29),"",IF(AND(Z$9&lt;=$H29,Z$9+6&gt;=$G29),1,""))</x:f>
      </x:c>
      <x:c r="AA29" s="12" t="str">
        <x:f t="shared" si="5">IF(OR($G29="",$H29="",$H29&lt;$G29),"",IF(AND(AA$9&lt;=$H29,AA$9+6&gt;=$G29),1,""))</x:f>
      </x:c>
      <x:c r="AB29" s="13" t="str">
        <x:f t="shared" si="5">IF(OR($G29="",$H29="",$H29&lt;$G29),"",IF(AND(AB$9&lt;=$H29,AB$9+6&gt;=$G29),1,""))</x:f>
      </x:c>
      <x:c r="AC29" s="12" t="str">
        <x:f t="shared" si="5">IF(OR($G29="",$H29="",$H29&lt;$G29),"",IF(AND(AC$9&lt;=$H29,AC$9+6&gt;=$G29),1,""))</x:f>
      </x:c>
      <x:c r="AD29" s="13" t="str">
        <x:f t="shared" si="5">IF(OR($G29="",$H29="",$H29&lt;$G29),"",IF(AND(AD$9&lt;=$H29,AD$9+6&gt;=$G29),1,""))</x:f>
      </x:c>
    </x:row>
    <x:row r="30" ht="24" customHeight="1">
      <x:c r="B30" s="54" t="str">
        <x:v>QA local</x:v>
      </x:c>
      <x:c r="C30" s="56" t="str">
        <x:v>Regresión automatizada en escritorio, móvil y accesibilidad</x:v>
      </x:c>
      <x:c r="D30" s="57" t="str">
        <x:v>Codex</x:v>
      </x:c>
      <x:c r="E30" s="7" t="str">
        <x:v>Completada</x:v>
      </x:c>
      <x:c r="F30" s="7" t="str">
        <x:v>P0</x:v>
      </x:c>
      <x:c r="G30" s="48" t="n">
        <x:v>46235</x:v>
      </x:c>
      <x:c r="H30" s="48" t="n">
        <x:v>46235</x:v>
      </x:c>
      <x:c r="I30" s="11" t="n">
        <x:f t="shared" si="1">IF(OR(G30="",H30="",H30&lt;G30),"",H30-G30+1)</x:f>
        <x:v>1</x:v>
      </x:c>
      <x:c r="J30" s="15"/>
      <x:c r="K30" s="12" t="n">
        <x:f t="shared" ref="K30:T39" si="6">IF(OR($G30="",$H30="",$H30&lt;$G30),"",IF(AND(K$9&lt;=$H30,K$9+6&gt;=$G30),1,""))</x:f>
        <x:v>1</x:v>
      </x:c>
      <x:c r="L30" s="13" t="str">
        <x:f t="shared" si="6">IF(OR($G30="",$H30="",$H30&lt;$G30),"",IF(AND(L$9&lt;=$H30,L$9+6&gt;=$G30),1,""))</x:f>
      </x:c>
      <x:c r="M30" s="12" t="str">
        <x:f t="shared" si="6">IF(OR($G30="",$H30="",$H30&lt;$G30),"",IF(AND(M$9&lt;=$H30,M$9+6&gt;=$G30),1,""))</x:f>
      </x:c>
      <x:c r="N30" s="13" t="str">
        <x:f t="shared" si="6">IF(OR($G30="",$H30="",$H30&lt;$G30),"",IF(AND(N$9&lt;=$H30,N$9+6&gt;=$G30),1,""))</x:f>
      </x:c>
      <x:c r="O30" s="12" t="str">
        <x:f t="shared" si="6">IF(OR($G30="",$H30="",$H30&lt;$G30),"",IF(AND(O$9&lt;=$H30,O$9+6&gt;=$G30),1,""))</x:f>
      </x:c>
      <x:c r="P30" s="13" t="str">
        <x:f t="shared" si="6">IF(OR($G30="",$H30="",$H30&lt;$G30),"",IF(AND(P$9&lt;=$H30,P$9+6&gt;=$G30),1,""))</x:f>
      </x:c>
      <x:c r="Q30" s="12" t="str">
        <x:f t="shared" si="6">IF(OR($G30="",$H30="",$H30&lt;$G30),"",IF(AND(Q$9&lt;=$H30,Q$9+6&gt;=$G30),1,""))</x:f>
      </x:c>
      <x:c r="R30" s="13" t="str">
        <x:f t="shared" si="6">IF(OR($G30="",$H30="",$H30&lt;$G30),"",IF(AND(R$9&lt;=$H30,R$9+6&gt;=$G30),1,""))</x:f>
      </x:c>
      <x:c r="S30" s="12" t="str">
        <x:f t="shared" si="6">IF(OR($G30="",$H30="",$H30&lt;$G30),"",IF(AND(S$9&lt;=$H30,S$9+6&gt;=$G30),1,""))</x:f>
      </x:c>
      <x:c r="T30" s="13" t="str">
        <x:f t="shared" si="6">IF(OR($G30="",$H30="",$H30&lt;$G30),"",IF(AND(T$9&lt;=$H30,T$9+6&gt;=$G30),1,""))</x:f>
      </x:c>
      <x:c r="U30" s="12" t="str">
        <x:f t="shared" ref="U30:AD39" si="7">IF(OR($G30="",$H30="",$H30&lt;$G30),"",IF(AND(U$9&lt;=$H30,U$9+6&gt;=$G30),1,""))</x:f>
      </x:c>
      <x:c r="V30" s="13" t="str">
        <x:f t="shared" si="7">IF(OR($G30="",$H30="",$H30&lt;$G30),"",IF(AND(V$9&lt;=$H30,V$9+6&gt;=$G30),1,""))</x:f>
      </x:c>
      <x:c r="W30" s="12" t="str">
        <x:f t="shared" si="7">IF(OR($G30="",$H30="",$H30&lt;$G30),"",IF(AND(W$9&lt;=$H30,W$9+6&gt;=$G30),1,""))</x:f>
      </x:c>
      <x:c r="X30" s="13" t="str">
        <x:f t="shared" si="7">IF(OR($G30="",$H30="",$H30&lt;$G30),"",IF(AND(X$9&lt;=$H30,X$9+6&gt;=$G30),1,""))</x:f>
      </x:c>
      <x:c r="Y30" s="12" t="str">
        <x:f t="shared" si="7">IF(OR($G30="",$H30="",$H30&lt;$G30),"",IF(AND(Y$9&lt;=$H30,Y$9+6&gt;=$G30),1,""))</x:f>
      </x:c>
      <x:c r="Z30" s="13" t="str">
        <x:f t="shared" si="7">IF(OR($G30="",$H30="",$H30&lt;$G30),"",IF(AND(Z$9&lt;=$H30,Z$9+6&gt;=$G30),1,""))</x:f>
      </x:c>
      <x:c r="AA30" s="12" t="str">
        <x:f t="shared" si="7">IF(OR($G30="",$H30="",$H30&lt;$G30),"",IF(AND(AA$9&lt;=$H30,AA$9+6&gt;=$G30),1,""))</x:f>
      </x:c>
      <x:c r="AB30" s="13" t="str">
        <x:f t="shared" si="7">IF(OR($G30="",$H30="",$H30&lt;$G30),"",IF(AND(AB$9&lt;=$H30,AB$9+6&gt;=$G30),1,""))</x:f>
      </x:c>
      <x:c r="AC30" s="12" t="str">
        <x:f t="shared" si="7">IF(OR($G30="",$H30="",$H30&lt;$G30),"",IF(AND(AC$9&lt;=$H30,AC$9+6&gt;=$G30),1,""))</x:f>
      </x:c>
      <x:c r="AD30" s="13" t="str">
        <x:f t="shared" si="7">IF(OR($G30="",$H30="",$H30&lt;$G30),"",IF(AND(AD$9&lt;=$H30,AD$9+6&gt;=$G30),1,""))</x:f>
      </x:c>
    </x:row>
    <x:row r="31" ht="24" customHeight="1">
      <x:c r="B31" s="55" t="str">
        <x:v>QA local</x:v>
      </x:c>
      <x:c r="C31" s="58" t="str">
        <x:v>Probar visitas y retiros sin dejar datos abiertos</x:v>
      </x:c>
      <x:c r="D31" s="59" t="str">
        <x:v>Codex</x:v>
      </x:c>
      <x:c r="E31" s="8" t="str">
        <x:v>Completada</x:v>
      </x:c>
      <x:c r="F31" s="8" t="str">
        <x:v>P0</x:v>
      </x:c>
      <x:c r="G31" s="50" t="n">
        <x:v>46235</x:v>
      </x:c>
      <x:c r="H31" s="50" t="n">
        <x:v>46235</x:v>
      </x:c>
      <x:c r="I31" s="11" t="n">
        <x:f t="shared" si="1">IF(OR(G31="",H31="",H31&lt;G31),"",H31-G31+1)</x:f>
        <x:v>1</x:v>
      </x:c>
      <x:c r="J31" s="15"/>
      <x:c r="K31" s="12" t="n">
        <x:f t="shared" si="6">IF(OR($G31="",$H31="",$H31&lt;$G31),"",IF(AND(K$9&lt;=$H31,K$9+6&gt;=$G31),1,""))</x:f>
        <x:v>1</x:v>
      </x:c>
      <x:c r="L31" s="13" t="str">
        <x:f t="shared" si="6">IF(OR($G31="",$H31="",$H31&lt;$G31),"",IF(AND(L$9&lt;=$H31,L$9+6&gt;=$G31),1,""))</x:f>
      </x:c>
      <x:c r="M31" s="12" t="str">
        <x:f t="shared" si="6">IF(OR($G31="",$H31="",$H31&lt;$G31),"",IF(AND(M$9&lt;=$H31,M$9+6&gt;=$G31),1,""))</x:f>
      </x:c>
      <x:c r="N31" s="13" t="str">
        <x:f t="shared" si="6">IF(OR($G31="",$H31="",$H31&lt;$G31),"",IF(AND(N$9&lt;=$H31,N$9+6&gt;=$G31),1,""))</x:f>
      </x:c>
      <x:c r="O31" s="12" t="str">
        <x:f t="shared" si="6">IF(OR($G31="",$H31="",$H31&lt;$G31),"",IF(AND(O$9&lt;=$H31,O$9+6&gt;=$G31),1,""))</x:f>
      </x:c>
      <x:c r="P31" s="13" t="str">
        <x:f t="shared" si="6">IF(OR($G31="",$H31="",$H31&lt;$G31),"",IF(AND(P$9&lt;=$H31,P$9+6&gt;=$G31),1,""))</x:f>
      </x:c>
      <x:c r="Q31" s="12" t="str">
        <x:f t="shared" si="6">IF(OR($G31="",$H31="",$H31&lt;$G31),"",IF(AND(Q$9&lt;=$H31,Q$9+6&gt;=$G31),1,""))</x:f>
      </x:c>
      <x:c r="R31" s="13" t="str">
        <x:f t="shared" si="6">IF(OR($G31="",$H31="",$H31&lt;$G31),"",IF(AND(R$9&lt;=$H31,R$9+6&gt;=$G31),1,""))</x:f>
      </x:c>
      <x:c r="S31" s="12" t="str">
        <x:f t="shared" si="6">IF(OR($G31="",$H31="",$H31&lt;$G31),"",IF(AND(S$9&lt;=$H31,S$9+6&gt;=$G31),1,""))</x:f>
      </x:c>
      <x:c r="T31" s="13" t="str">
        <x:f t="shared" si="6">IF(OR($G31="",$H31="",$H31&lt;$G31),"",IF(AND(T$9&lt;=$H31,T$9+6&gt;=$G31),1,""))</x:f>
      </x:c>
      <x:c r="U31" s="12" t="str">
        <x:f t="shared" si="7">IF(OR($G31="",$H31="",$H31&lt;$G31),"",IF(AND(U$9&lt;=$H31,U$9+6&gt;=$G31),1,""))</x:f>
      </x:c>
      <x:c r="V31" s="13" t="str">
        <x:f t="shared" si="7">IF(OR($G31="",$H31="",$H31&lt;$G31),"",IF(AND(V$9&lt;=$H31,V$9+6&gt;=$G31),1,""))</x:f>
      </x:c>
      <x:c r="W31" s="12" t="str">
        <x:f t="shared" si="7">IF(OR($G31="",$H31="",$H31&lt;$G31),"",IF(AND(W$9&lt;=$H31,W$9+6&gt;=$G31),1,""))</x:f>
      </x:c>
      <x:c r="X31" s="13" t="str">
        <x:f t="shared" si="7">IF(OR($G31="",$H31="",$H31&lt;$G31),"",IF(AND(X$9&lt;=$H31,X$9+6&gt;=$G31),1,""))</x:f>
      </x:c>
      <x:c r="Y31" s="12" t="str">
        <x:f t="shared" si="7">IF(OR($G31="",$H31="",$H31&lt;$G31),"",IF(AND(Y$9&lt;=$H31,Y$9+6&gt;=$G31),1,""))</x:f>
      </x:c>
      <x:c r="Z31" s="13" t="str">
        <x:f t="shared" si="7">IF(OR($G31="",$H31="",$H31&lt;$G31),"",IF(AND(Z$9&lt;=$H31,Z$9+6&gt;=$G31),1,""))</x:f>
      </x:c>
      <x:c r="AA31" s="12" t="str">
        <x:f t="shared" si="7">IF(OR($G31="",$H31="",$H31&lt;$G31),"",IF(AND(AA$9&lt;=$H31,AA$9+6&gt;=$G31),1,""))</x:f>
      </x:c>
      <x:c r="AB31" s="13" t="str">
        <x:f t="shared" si="7">IF(OR($G31="",$H31="",$H31&lt;$G31),"",IF(AND(AB$9&lt;=$H31,AB$9+6&gt;=$G31),1,""))</x:f>
      </x:c>
      <x:c r="AC31" s="12" t="str">
        <x:f t="shared" si="7">IF(OR($G31="",$H31="",$H31&lt;$G31),"",IF(AND(AC$9&lt;=$H31,AC$9+6&gt;=$G31),1,""))</x:f>
      </x:c>
      <x:c r="AD31" s="13" t="str">
        <x:f t="shared" si="7">IF(OR($G31="",$H31="",$H31&lt;$G31),"",IF(AND(AD$9&lt;=$H31,AD$9+6&gt;=$G31),1,""))</x:f>
      </x:c>
    </x:row>
    <x:row r="32" ht="24" customHeight="1">
      <x:c r="B32" s="54" t="str">
        <x:v>QA local</x:v>
      </x:c>
      <x:c r="C32" s="56" t="str">
        <x:v>Comprobar respaldo, restauración y salud de contenedores</x:v>
      </x:c>
      <x:c r="D32" s="57" t="str">
        <x:v>Codex</x:v>
      </x:c>
      <x:c r="E32" s="7" t="str">
        <x:v>Completada</x:v>
      </x:c>
      <x:c r="F32" s="7" t="str">
        <x:v>P0</x:v>
      </x:c>
      <x:c r="G32" s="51" t="n">
        <x:v>46235</x:v>
      </x:c>
      <x:c r="H32" s="51" t="n">
        <x:v>46235</x:v>
      </x:c>
      <x:c r="I32" s="11" t="n">
        <x:f t="shared" si="1">IF(OR(G32="",H32="",H32&lt;G32),"",H32-G32+1)</x:f>
        <x:v>1</x:v>
      </x:c>
      <x:c r="J32" s="15"/>
      <x:c r="K32" s="12" t="n">
        <x:f t="shared" si="6">IF(OR($G32="",$H32="",$H32&lt;$G32),"",IF(AND(K$9&lt;=$H32,K$9+6&gt;=$G32),1,""))</x:f>
        <x:v>1</x:v>
      </x:c>
      <x:c r="L32" s="13" t="str">
        <x:f t="shared" si="6">IF(OR($G32="",$H32="",$H32&lt;$G32),"",IF(AND(L$9&lt;=$H32,L$9+6&gt;=$G32),1,""))</x:f>
      </x:c>
      <x:c r="M32" s="12" t="str">
        <x:f t="shared" si="6">IF(OR($G32="",$H32="",$H32&lt;$G32),"",IF(AND(M$9&lt;=$H32,M$9+6&gt;=$G32),1,""))</x:f>
      </x:c>
      <x:c r="N32" s="13" t="str">
        <x:f t="shared" si="6">IF(OR($G32="",$H32="",$H32&lt;$G32),"",IF(AND(N$9&lt;=$H32,N$9+6&gt;=$G32),1,""))</x:f>
      </x:c>
      <x:c r="O32" s="12" t="str">
        <x:f t="shared" si="6">IF(OR($G32="",$H32="",$H32&lt;$G32),"",IF(AND(O$9&lt;=$H32,O$9+6&gt;=$G32),1,""))</x:f>
      </x:c>
      <x:c r="P32" s="13" t="str">
        <x:f t="shared" si="6">IF(OR($G32="",$H32="",$H32&lt;$G32),"",IF(AND(P$9&lt;=$H32,P$9+6&gt;=$G32),1,""))</x:f>
      </x:c>
      <x:c r="Q32" s="12" t="str">
        <x:f t="shared" si="6">IF(OR($G32="",$H32="",$H32&lt;$G32),"",IF(AND(Q$9&lt;=$H32,Q$9+6&gt;=$G32),1,""))</x:f>
      </x:c>
      <x:c r="R32" s="13" t="str">
        <x:f t="shared" si="6">IF(OR($G32="",$H32="",$H32&lt;$G32),"",IF(AND(R$9&lt;=$H32,R$9+6&gt;=$G32),1,""))</x:f>
      </x:c>
      <x:c r="S32" s="12" t="str">
        <x:f t="shared" si="6">IF(OR($G32="",$H32="",$H32&lt;$G32),"",IF(AND(S$9&lt;=$H32,S$9+6&gt;=$G32),1,""))</x:f>
      </x:c>
      <x:c r="T32" s="13" t="str">
        <x:f t="shared" si="6">IF(OR($G32="",$H32="",$H32&lt;$G32),"",IF(AND(T$9&lt;=$H32,T$9+6&gt;=$G32),1,""))</x:f>
      </x:c>
      <x:c r="U32" s="12" t="str">
        <x:f t="shared" si="7">IF(OR($G32="",$H32="",$H32&lt;$G32),"",IF(AND(U$9&lt;=$H32,U$9+6&gt;=$G32),1,""))</x:f>
      </x:c>
      <x:c r="V32" s="13" t="str">
        <x:f t="shared" si="7">IF(OR($G32="",$H32="",$H32&lt;$G32),"",IF(AND(V$9&lt;=$H32,V$9+6&gt;=$G32),1,""))</x:f>
      </x:c>
      <x:c r="W32" s="12" t="str">
        <x:f t="shared" si="7">IF(OR($G32="",$H32="",$H32&lt;$G32),"",IF(AND(W$9&lt;=$H32,W$9+6&gt;=$G32),1,""))</x:f>
      </x:c>
      <x:c r="X32" s="13" t="str">
        <x:f t="shared" si="7">IF(OR($G32="",$H32="",$H32&lt;$G32),"",IF(AND(X$9&lt;=$H32,X$9+6&gt;=$G32),1,""))</x:f>
      </x:c>
      <x:c r="Y32" s="12" t="str">
        <x:f t="shared" si="7">IF(OR($G32="",$H32="",$H32&lt;$G32),"",IF(AND(Y$9&lt;=$H32,Y$9+6&gt;=$G32),1,""))</x:f>
      </x:c>
      <x:c r="Z32" s="13" t="str">
        <x:f t="shared" si="7">IF(OR($G32="",$H32="",$H32&lt;$G32),"",IF(AND(Z$9&lt;=$H32,Z$9+6&gt;=$G32),1,""))</x:f>
      </x:c>
      <x:c r="AA32" s="12" t="str">
        <x:f t="shared" si="7">IF(OR($G32="",$H32="",$H32&lt;$G32),"",IF(AND(AA$9&lt;=$H32,AA$9+6&gt;=$G32),1,""))</x:f>
      </x:c>
      <x:c r="AB32" s="13" t="str">
        <x:f t="shared" si="7">IF(OR($G32="",$H32="",$H32&lt;$G32),"",IF(AND(AB$9&lt;=$H32,AB$9+6&gt;=$G32),1,""))</x:f>
      </x:c>
      <x:c r="AC32" s="12" t="str">
        <x:f t="shared" si="7">IF(OR($G32="",$H32="",$H32&lt;$G32),"",IF(AND(AC$9&lt;=$H32,AC$9+6&gt;=$G32),1,""))</x:f>
      </x:c>
      <x:c r="AD32" s="13" t="str">
        <x:f t="shared" si="7">IF(OR($G32="",$H32="",$H32&lt;$G32),"",IF(AND(AD$9&lt;=$H32,AD$9+6&gt;=$G32),1,""))</x:f>
      </x:c>
    </x:row>
    <x:row r="33" ht="24" customHeight="1">
      <x:c r="B33" s="55" t="str">
        <x:v>Publicación</x:v>
      </x:c>
      <x:c r="C33" s="58" t="str">
        <x:v>Commits en español y publicación controlada en test</x:v>
      </x:c>
      <x:c r="D33" s="59" t="str">
        <x:v>Codex</x:v>
      </x:c>
      <x:c r="E33" s="8" t="str">
        <x:v>Completada</x:v>
      </x:c>
      <x:c r="F33" s="8" t="str">
        <x:v>P0</x:v>
      </x:c>
      <x:c r="G33" s="50" t="n">
        <x:v>46235</x:v>
      </x:c>
      <x:c r="H33" s="50" t="n">
        <x:v>46235</x:v>
      </x:c>
      <x:c r="I33" s="11" t="n">
        <x:f t="shared" si="1">IF(OR(G33="",H33="",H33&lt;G33),"",H33-G33+1)</x:f>
        <x:v>1</x:v>
      </x:c>
      <x:c r="J33" s="15"/>
      <x:c r="K33" s="12" t="n">
        <x:f t="shared" si="6">IF(OR($G33="",$H33="",$H33&lt;$G33),"",IF(AND(K$9&lt;=$H33,K$9+6&gt;=$G33),1,""))</x:f>
        <x:v>1</x:v>
      </x:c>
      <x:c r="L33" s="13" t="str">
        <x:f t="shared" si="6">IF(OR($G33="",$H33="",$H33&lt;$G33),"",IF(AND(L$9&lt;=$H33,L$9+6&gt;=$G33),1,""))</x:f>
      </x:c>
      <x:c r="M33" s="12" t="str">
        <x:f t="shared" si="6">IF(OR($G33="",$H33="",$H33&lt;$G33),"",IF(AND(M$9&lt;=$H33,M$9+6&gt;=$G33),1,""))</x:f>
      </x:c>
      <x:c r="N33" s="13" t="str">
        <x:f t="shared" si="6">IF(OR($G33="",$H33="",$H33&lt;$G33),"",IF(AND(N$9&lt;=$H33,N$9+6&gt;=$G33),1,""))</x:f>
      </x:c>
      <x:c r="O33" s="12" t="str">
        <x:f t="shared" si="6">IF(OR($G33="",$H33="",$H33&lt;$G33),"",IF(AND(O$9&lt;=$H33,O$9+6&gt;=$G33),1,""))</x:f>
      </x:c>
      <x:c r="P33" s="13" t="str">
        <x:f t="shared" si="6">IF(OR($G33="",$H33="",$H33&lt;$G33),"",IF(AND(P$9&lt;=$H33,P$9+6&gt;=$G33),1,""))</x:f>
      </x:c>
      <x:c r="Q33" s="12" t="str">
        <x:f t="shared" si="6">IF(OR($G33="",$H33="",$H33&lt;$G33),"",IF(AND(Q$9&lt;=$H33,Q$9+6&gt;=$G33),1,""))</x:f>
      </x:c>
      <x:c r="R33" s="13" t="str">
        <x:f t="shared" si="6">IF(OR($G33="",$H33="",$H33&lt;$G33),"",IF(AND(R$9&lt;=$H33,R$9+6&gt;=$G33),1,""))</x:f>
      </x:c>
      <x:c r="S33" s="12" t="str">
        <x:f t="shared" si="6">IF(OR($G33="",$H33="",$H33&lt;$G33),"",IF(AND(S$9&lt;=$H33,S$9+6&gt;=$G33),1,""))</x:f>
      </x:c>
      <x:c r="T33" s="13" t="str">
        <x:f t="shared" si="6">IF(OR($G33="",$H33="",$H33&lt;$G33),"",IF(AND(T$9&lt;=$H33,T$9+6&gt;=$G33),1,""))</x:f>
      </x:c>
      <x:c r="U33" s="12" t="str">
        <x:f t="shared" si="7">IF(OR($G33="",$H33="",$H33&lt;$G33),"",IF(AND(U$9&lt;=$H33,U$9+6&gt;=$G33),1,""))</x:f>
      </x:c>
      <x:c r="V33" s="13" t="str">
        <x:f t="shared" si="7">IF(OR($G33="",$H33="",$H33&lt;$G33),"",IF(AND(V$9&lt;=$H33,V$9+6&gt;=$G33),1,""))</x:f>
      </x:c>
      <x:c r="W33" s="12" t="str">
        <x:f t="shared" si="7">IF(OR($G33="",$H33="",$H33&lt;$G33),"",IF(AND(W$9&lt;=$H33,W$9+6&gt;=$G33),1,""))</x:f>
      </x:c>
      <x:c r="X33" s="13" t="str">
        <x:f t="shared" si="7">IF(OR($G33="",$H33="",$H33&lt;$G33),"",IF(AND(X$9&lt;=$H33,X$9+6&gt;=$G33),1,""))</x:f>
      </x:c>
      <x:c r="Y33" s="12" t="str">
        <x:f t="shared" si="7">IF(OR($G33="",$H33="",$H33&lt;$G33),"",IF(AND(Y$9&lt;=$H33,Y$9+6&gt;=$G33),1,""))</x:f>
      </x:c>
      <x:c r="Z33" s="13" t="str">
        <x:f t="shared" si="7">IF(OR($G33="",$H33="",$H33&lt;$G33),"",IF(AND(Z$9&lt;=$H33,Z$9+6&gt;=$G33),1,""))</x:f>
      </x:c>
      <x:c r="AA33" s="12" t="str">
        <x:f t="shared" si="7">IF(OR($G33="",$H33="",$H33&lt;$G33),"",IF(AND(AA$9&lt;=$H33,AA$9+6&gt;=$G33),1,""))</x:f>
      </x:c>
      <x:c r="AB33" s="13" t="str">
        <x:f t="shared" si="7">IF(OR($G33="",$H33="",$H33&lt;$G33),"",IF(AND(AB$9&lt;=$H33,AB$9+6&gt;=$G33),1,""))</x:f>
      </x:c>
      <x:c r="AC33" s="12" t="str">
        <x:f t="shared" si="7">IF(OR($G33="",$H33="",$H33&lt;$G33),"",IF(AND(AC$9&lt;=$H33,AC$9+6&gt;=$G33),1,""))</x:f>
      </x:c>
      <x:c r="AD33" s="13" t="str">
        <x:f t="shared" si="7">IF(OR($G33="",$H33="",$H33&lt;$G33),"",IF(AND(AD$9&lt;=$H33,AD$9+6&gt;=$G33),1,""))</x:f>
      </x:c>
    </x:row>
    <x:row r="34" ht="24" customHeight="1">
      <x:c r="B34" s="54" t="str">
        <x:v>Infraestructura</x:v>
      </x:c>
      <x:c r="C34" s="56" t="str">
        <x:v>Elegir y preparar el PC servidor definitivo</x:v>
      </x:c>
      <x:c r="D34" s="57" t="str">
        <x:v>LDSM</x:v>
      </x:c>
      <x:c r="E34" s="7" t="str">
        <x:v>No iniciada</x:v>
      </x:c>
      <x:c r="F34" s="7" t="str">
        <x:v>P0</x:v>
      </x:c>
      <x:c r="G34" s="51"/>
      <x:c r="H34" s="51"/>
      <x:c r="I34" s="11" t="str">
        <x:f t="shared" si="1">IF(OR(G34="",H34="",H34&lt;G34),"",H34-G34+1)</x:f>
      </x:c>
      <x:c r="J34" s="15"/>
      <x:c r="K34" s="12" t="str">
        <x:f t="shared" si="6">IF(OR($G34="",$H34="",$H34&lt;$G34),"",IF(AND(K$9&lt;=$H34,K$9+6&gt;=$G34),1,""))</x:f>
      </x:c>
      <x:c r="L34" s="13" t="str">
        <x:f t="shared" si="6">IF(OR($G34="",$H34="",$H34&lt;$G34),"",IF(AND(L$9&lt;=$H34,L$9+6&gt;=$G34),1,""))</x:f>
      </x:c>
      <x:c r="M34" s="12" t="str">
        <x:f t="shared" si="6">IF(OR($G34="",$H34="",$H34&lt;$G34),"",IF(AND(M$9&lt;=$H34,M$9+6&gt;=$G34),1,""))</x:f>
      </x:c>
      <x:c r="N34" s="13" t="str">
        <x:f t="shared" si="6">IF(OR($G34="",$H34="",$H34&lt;$G34),"",IF(AND(N$9&lt;=$H34,N$9+6&gt;=$G34),1,""))</x:f>
      </x:c>
      <x:c r="O34" s="12" t="str">
        <x:f t="shared" si="6">IF(OR($G34="",$H34="",$H34&lt;$G34),"",IF(AND(O$9&lt;=$H34,O$9+6&gt;=$G34),1,""))</x:f>
      </x:c>
      <x:c r="P34" s="13" t="str">
        <x:f t="shared" si="6">IF(OR($G34="",$H34="",$H34&lt;$G34),"",IF(AND(P$9&lt;=$H34,P$9+6&gt;=$G34),1,""))</x:f>
      </x:c>
      <x:c r="Q34" s="12" t="str">
        <x:f t="shared" si="6">IF(OR($G34="",$H34="",$H34&lt;$G34),"",IF(AND(Q$9&lt;=$H34,Q$9+6&gt;=$G34),1,""))</x:f>
      </x:c>
      <x:c r="R34" s="13" t="str">
        <x:f t="shared" si="6">IF(OR($G34="",$H34="",$H34&lt;$G34),"",IF(AND(R$9&lt;=$H34,R$9+6&gt;=$G34),1,""))</x:f>
      </x:c>
      <x:c r="S34" s="12" t="str">
        <x:f t="shared" si="6">IF(OR($G34="",$H34="",$H34&lt;$G34),"",IF(AND(S$9&lt;=$H34,S$9+6&gt;=$G34),1,""))</x:f>
      </x:c>
      <x:c r="T34" s="13" t="str">
        <x:f t="shared" si="6">IF(OR($G34="",$H34="",$H34&lt;$G34),"",IF(AND(T$9&lt;=$H34,T$9+6&gt;=$G34),1,""))</x:f>
      </x:c>
      <x:c r="U34" s="12" t="str">
        <x:f t="shared" si="7">IF(OR($G34="",$H34="",$H34&lt;$G34),"",IF(AND(U$9&lt;=$H34,U$9+6&gt;=$G34),1,""))</x:f>
      </x:c>
      <x:c r="V34" s="13" t="str">
        <x:f t="shared" si="7">IF(OR($G34="",$H34="",$H34&lt;$G34),"",IF(AND(V$9&lt;=$H34,V$9+6&gt;=$G34),1,""))</x:f>
      </x:c>
      <x:c r="W34" s="12" t="str">
        <x:f t="shared" si="7">IF(OR($G34="",$H34="",$H34&lt;$G34),"",IF(AND(W$9&lt;=$H34,W$9+6&gt;=$G34),1,""))</x:f>
      </x:c>
      <x:c r="X34" s="13" t="str">
        <x:f t="shared" si="7">IF(OR($G34="",$H34="",$H34&lt;$G34),"",IF(AND(X$9&lt;=$H34,X$9+6&gt;=$G34),1,""))</x:f>
      </x:c>
      <x:c r="Y34" s="12" t="str">
        <x:f t="shared" si="7">IF(OR($G34="",$H34="",$H34&lt;$G34),"",IF(AND(Y$9&lt;=$H34,Y$9+6&gt;=$G34),1,""))</x:f>
      </x:c>
      <x:c r="Z34" s="13" t="str">
        <x:f t="shared" si="7">IF(OR($G34="",$H34="",$H34&lt;$G34),"",IF(AND(Z$9&lt;=$H34,Z$9+6&gt;=$G34),1,""))</x:f>
      </x:c>
      <x:c r="AA34" s="12" t="str">
        <x:f t="shared" si="7">IF(OR($G34="",$H34="",$H34&lt;$G34),"",IF(AND(AA$9&lt;=$H34,AA$9+6&gt;=$G34),1,""))</x:f>
      </x:c>
      <x:c r="AB34" s="13" t="str">
        <x:f t="shared" si="7">IF(OR($G34="",$H34="",$H34&lt;$G34),"",IF(AND(AB$9&lt;=$H34,AB$9+6&gt;=$G34),1,""))</x:f>
      </x:c>
      <x:c r="AC34" s="12" t="str">
        <x:f t="shared" si="7">IF(OR($G34="",$H34="",$H34&lt;$G34),"",IF(AND(AC$9&lt;=$H34,AC$9+6&gt;=$G34),1,""))</x:f>
      </x:c>
      <x:c r="AD34" s="13" t="str">
        <x:f t="shared" si="7">IF(OR($G34="",$H34="",$H34&lt;$G34),"",IF(AND(AD$9&lt;=$H34,AD$9+6&gt;=$G34),1,""))</x:f>
      </x:c>
    </x:row>
    <x:row r="35" ht="24" customHeight="1">
      <x:c r="B35" s="55" t="str">
        <x:v>Red escolar</x:v>
      </x:c>
      <x:c r="C35" s="58" t="str">
        <x:v>Reservar IP y definir DNS o nombre interno</x:v>
      </x:c>
      <x:c r="D35" s="59" t="str">
        <x:v>LDSM / encargado de red</x:v>
      </x:c>
      <x:c r="E35" s="8" t="str">
        <x:v>No iniciada</x:v>
      </x:c>
      <x:c r="F35" s="8" t="str">
        <x:v>P0</x:v>
      </x:c>
      <x:c r="G35" s="50"/>
      <x:c r="H35" s="50"/>
      <x:c r="I35" s="11" t="str">
        <x:f t="shared" si="1">IF(OR(G35="",H35="",H35&lt;G35),"",H35-G35+1)</x:f>
      </x:c>
      <x:c r="J35" s="15"/>
      <x:c r="K35" s="12" t="str">
        <x:f t="shared" si="6">IF(OR($G35="",$H35="",$H35&lt;$G35),"",IF(AND(K$9&lt;=$H35,K$9+6&gt;=$G35),1,""))</x:f>
      </x:c>
      <x:c r="L35" s="13" t="str">
        <x:f t="shared" si="6">IF(OR($G35="",$H35="",$H35&lt;$G35),"",IF(AND(L$9&lt;=$H35,L$9+6&gt;=$G35),1,""))</x:f>
      </x:c>
      <x:c r="M35" s="12" t="str">
        <x:f t="shared" si="6">IF(OR($G35="",$H35="",$H35&lt;$G35),"",IF(AND(M$9&lt;=$H35,M$9+6&gt;=$G35),1,""))</x:f>
      </x:c>
      <x:c r="N35" s="13" t="str">
        <x:f t="shared" si="6">IF(OR($G35="",$H35="",$H35&lt;$G35),"",IF(AND(N$9&lt;=$H35,N$9+6&gt;=$G35),1,""))</x:f>
      </x:c>
      <x:c r="O35" s="12" t="str">
        <x:f t="shared" si="6">IF(OR($G35="",$H35="",$H35&lt;$G35),"",IF(AND(O$9&lt;=$H35,O$9+6&gt;=$G35),1,""))</x:f>
      </x:c>
      <x:c r="P35" s="13" t="str">
        <x:f t="shared" si="6">IF(OR($G35="",$H35="",$H35&lt;$G35),"",IF(AND(P$9&lt;=$H35,P$9+6&gt;=$G35),1,""))</x:f>
      </x:c>
      <x:c r="Q35" s="12" t="str">
        <x:f t="shared" si="6">IF(OR($G35="",$H35="",$H35&lt;$G35),"",IF(AND(Q$9&lt;=$H35,Q$9+6&gt;=$G35),1,""))</x:f>
      </x:c>
      <x:c r="R35" s="13" t="str">
        <x:f t="shared" si="6">IF(OR($G35="",$H35="",$H35&lt;$G35),"",IF(AND(R$9&lt;=$H35,R$9+6&gt;=$G35),1,""))</x:f>
      </x:c>
      <x:c r="S35" s="12" t="str">
        <x:f t="shared" si="6">IF(OR($G35="",$H35="",$H35&lt;$G35),"",IF(AND(S$9&lt;=$H35,S$9+6&gt;=$G35),1,""))</x:f>
      </x:c>
      <x:c r="T35" s="13" t="str">
        <x:f t="shared" si="6">IF(OR($G35="",$H35="",$H35&lt;$G35),"",IF(AND(T$9&lt;=$H35,T$9+6&gt;=$G35),1,""))</x:f>
      </x:c>
      <x:c r="U35" s="12" t="str">
        <x:f t="shared" si="7">IF(OR($G35="",$H35="",$H35&lt;$G35),"",IF(AND(U$9&lt;=$H35,U$9+6&gt;=$G35),1,""))</x:f>
      </x:c>
      <x:c r="V35" s="13" t="str">
        <x:f t="shared" si="7">IF(OR($G35="",$H35="",$H35&lt;$G35),"",IF(AND(V$9&lt;=$H35,V$9+6&gt;=$G35),1,""))</x:f>
      </x:c>
      <x:c r="W35" s="12" t="str">
        <x:f t="shared" si="7">IF(OR($G35="",$H35="",$H35&lt;$G35),"",IF(AND(W$9&lt;=$H35,W$9+6&gt;=$G35),1,""))</x:f>
      </x:c>
      <x:c r="X35" s="13" t="str">
        <x:f t="shared" si="7">IF(OR($G35="",$H35="",$H35&lt;$G35),"",IF(AND(X$9&lt;=$H35,X$9+6&gt;=$G35),1,""))</x:f>
      </x:c>
      <x:c r="Y35" s="12" t="str">
        <x:f t="shared" si="7">IF(OR($G35="",$H35="",$H35&lt;$G35),"",IF(AND(Y$9&lt;=$H35,Y$9+6&gt;=$G35),1,""))</x:f>
      </x:c>
      <x:c r="Z35" s="13" t="str">
        <x:f t="shared" si="7">IF(OR($G35="",$H35="",$H35&lt;$G35),"",IF(AND(Z$9&lt;=$H35,Z$9+6&gt;=$G35),1,""))</x:f>
      </x:c>
      <x:c r="AA35" s="12" t="str">
        <x:f t="shared" si="7">IF(OR($G35="",$H35="",$H35&lt;$G35),"",IF(AND(AA$9&lt;=$H35,AA$9+6&gt;=$G35),1,""))</x:f>
      </x:c>
      <x:c r="AB35" s="13" t="str">
        <x:f t="shared" si="7">IF(OR($G35="",$H35="",$H35&lt;$G35),"",IF(AND(AB$9&lt;=$H35,AB$9+6&gt;=$G35),1,""))</x:f>
      </x:c>
      <x:c r="AC35" s="12" t="str">
        <x:f t="shared" si="7">IF(OR($G35="",$H35="",$H35&lt;$G35),"",IF(AND(AC$9&lt;=$H35,AC$9+6&gt;=$G35),1,""))</x:f>
      </x:c>
      <x:c r="AD35" s="13" t="str">
        <x:f t="shared" si="7">IF(OR($G35="",$H35="",$H35&lt;$G35),"",IF(AND(AD$9&lt;=$H35,AD$9+6&gt;=$G35),1,""))</x:f>
      </x:c>
    </x:row>
    <x:row r="36" ht="24" customHeight="1">
      <x:c r="B36" s="54" t="str">
        <x:v>HTTPS interno</x:v>
      </x:c>
      <x:c r="C36" s="56" t="str">
        <x:v>Activar HTTPS y confiar la CA en cada dispositivo</x:v>
      </x:c>
      <x:c r="D36" s="57" t="str">
        <x:v>Lucas + LDSM</x:v>
      </x:c>
      <x:c r="E36" s="7" t="str">
        <x:v>No iniciada</x:v>
      </x:c>
      <x:c r="F36" s="7" t="str">
        <x:v>P0</x:v>
      </x:c>
      <x:c r="G36" s="51"/>
      <x:c r="H36" s="51"/>
      <x:c r="I36" s="11" t="str">
        <x:f t="shared" si="1">IF(OR(G36="",H36="",H36&lt;G36),"",H36-G36+1)</x:f>
      </x:c>
      <x:c r="J36" s="15"/>
      <x:c r="K36" s="12" t="str">
        <x:f t="shared" si="6">IF(OR($G36="",$H36="",$H36&lt;$G36),"",IF(AND(K$9&lt;=$H36,K$9+6&gt;=$G36),1,""))</x:f>
      </x:c>
      <x:c r="L36" s="13" t="str">
        <x:f t="shared" si="6">IF(OR($G36="",$H36="",$H36&lt;$G36),"",IF(AND(L$9&lt;=$H36,L$9+6&gt;=$G36),1,""))</x:f>
      </x:c>
      <x:c r="M36" s="12" t="str">
        <x:f t="shared" si="6">IF(OR($G36="",$H36="",$H36&lt;$G36),"",IF(AND(M$9&lt;=$H36,M$9+6&gt;=$G36),1,""))</x:f>
      </x:c>
      <x:c r="N36" s="13" t="str">
        <x:f t="shared" si="6">IF(OR($G36="",$H36="",$H36&lt;$G36),"",IF(AND(N$9&lt;=$H36,N$9+6&gt;=$G36),1,""))</x:f>
      </x:c>
      <x:c r="O36" s="12" t="str">
        <x:f t="shared" si="6">IF(OR($G36="",$H36="",$H36&lt;$G36),"",IF(AND(O$9&lt;=$H36,O$9+6&gt;=$G36),1,""))</x:f>
      </x:c>
      <x:c r="P36" s="13" t="str">
        <x:f t="shared" si="6">IF(OR($G36="",$H36="",$H36&lt;$G36),"",IF(AND(P$9&lt;=$H36,P$9+6&gt;=$G36),1,""))</x:f>
      </x:c>
      <x:c r="Q36" s="12" t="str">
        <x:f t="shared" si="6">IF(OR($G36="",$H36="",$H36&lt;$G36),"",IF(AND(Q$9&lt;=$H36,Q$9+6&gt;=$G36),1,""))</x:f>
      </x:c>
      <x:c r="R36" s="13" t="str">
        <x:f t="shared" si="6">IF(OR($G36="",$H36="",$H36&lt;$G36),"",IF(AND(R$9&lt;=$H36,R$9+6&gt;=$G36),1,""))</x:f>
      </x:c>
      <x:c r="S36" s="12" t="str">
        <x:f t="shared" si="6">IF(OR($G36="",$H36="",$H36&lt;$G36),"",IF(AND(S$9&lt;=$H36,S$9+6&gt;=$G36),1,""))</x:f>
      </x:c>
      <x:c r="T36" s="13" t="str">
        <x:f t="shared" si="6">IF(OR($G36="",$H36="",$H36&lt;$G36),"",IF(AND(T$9&lt;=$H36,T$9+6&gt;=$G36),1,""))</x:f>
      </x:c>
      <x:c r="U36" s="12" t="str">
        <x:f t="shared" si="7">IF(OR($G36="",$H36="",$H36&lt;$G36),"",IF(AND(U$9&lt;=$H36,U$9+6&gt;=$G36),1,""))</x:f>
      </x:c>
      <x:c r="V36" s="13" t="str">
        <x:f t="shared" si="7">IF(OR($G36="",$H36="",$H36&lt;$G36),"",IF(AND(V$9&lt;=$H36,V$9+6&gt;=$G36),1,""))</x:f>
      </x:c>
      <x:c r="W36" s="12" t="str">
        <x:f t="shared" si="7">IF(OR($G36="",$H36="",$H36&lt;$G36),"",IF(AND(W$9&lt;=$H36,W$9+6&gt;=$G36),1,""))</x:f>
      </x:c>
      <x:c r="X36" s="13" t="str">
        <x:f t="shared" si="7">IF(OR($G36="",$H36="",$H36&lt;$G36),"",IF(AND(X$9&lt;=$H36,X$9+6&gt;=$G36),1,""))</x:f>
      </x:c>
      <x:c r="Y36" s="12" t="str">
        <x:f t="shared" si="7">IF(OR($G36="",$H36="",$H36&lt;$G36),"",IF(AND(Y$9&lt;=$H36,Y$9+6&gt;=$G36),1,""))</x:f>
      </x:c>
      <x:c r="Z36" s="13" t="str">
        <x:f t="shared" si="7">IF(OR($G36="",$H36="",$H36&lt;$G36),"",IF(AND(Z$9&lt;=$H36,Z$9+6&gt;=$G36),1,""))</x:f>
      </x:c>
      <x:c r="AA36" s="12" t="str">
        <x:f t="shared" si="7">IF(OR($G36="",$H36="",$H36&lt;$G36),"",IF(AND(AA$9&lt;=$H36,AA$9+6&gt;=$G36),1,""))</x:f>
      </x:c>
      <x:c r="AB36" s="13" t="str">
        <x:f t="shared" si="7">IF(OR($G36="",$H36="",$H36&lt;$G36),"",IF(AND(AB$9&lt;=$H36,AB$9+6&gt;=$G36),1,""))</x:f>
      </x:c>
      <x:c r="AC36" s="12" t="str">
        <x:f t="shared" si="7">IF(OR($G36="",$H36="",$H36&lt;$G36),"",IF(AND(AC$9&lt;=$H36,AC$9+6&gt;=$G36),1,""))</x:f>
      </x:c>
      <x:c r="AD36" s="13" t="str">
        <x:f t="shared" si="7">IF(OR($G36="",$H36="",$H36&lt;$G36),"",IF(AND(AD$9&lt;=$H36,AD$9+6&gt;=$G36),1,""))</x:f>
      </x:c>
    </x:row>
    <x:row r="37" ht="24" customHeight="1">
      <x:c r="B37" s="55" t="str">
        <x:v>Aceptación física</x:v>
      </x:c>
      <x:c r="C37" s="58" t="str">
        <x:v>Probar pistola, cámara y visitas/retiros reales</x:v>
      </x:c>
      <x:c r="D37" s="59" t="str">
        <x:v>Lucas + LDSM</x:v>
      </x:c>
      <x:c r="E37" s="8" t="str">
        <x:v>No iniciada</x:v>
      </x:c>
      <x:c r="F37" s="8" t="str">
        <x:v>P0</x:v>
      </x:c>
      <x:c r="G37" s="50"/>
      <x:c r="H37" s="50"/>
      <x:c r="I37" s="11" t="str">
        <x:f t="shared" si="1">IF(OR(G37="",H37="",H37&lt;G37),"",H37-G37+1)</x:f>
      </x:c>
      <x:c r="J37" s="15"/>
      <x:c r="K37" s="12" t="str">
        <x:f t="shared" si="6">IF(OR($G37="",$H37="",$H37&lt;$G37),"",IF(AND(K$9&lt;=$H37,K$9+6&gt;=$G37),1,""))</x:f>
      </x:c>
      <x:c r="L37" s="13" t="str">
        <x:f t="shared" si="6">IF(OR($G37="",$H37="",$H37&lt;$G37),"",IF(AND(L$9&lt;=$H37,L$9+6&gt;=$G37),1,""))</x:f>
      </x:c>
      <x:c r="M37" s="12" t="str">
        <x:f t="shared" si="6">IF(OR($G37="",$H37="",$H37&lt;$G37),"",IF(AND(M$9&lt;=$H37,M$9+6&gt;=$G37),1,""))</x:f>
      </x:c>
      <x:c r="N37" s="13" t="str">
        <x:f t="shared" si="6">IF(OR($G37="",$H37="",$H37&lt;$G37),"",IF(AND(N$9&lt;=$H37,N$9+6&gt;=$G37),1,""))</x:f>
      </x:c>
      <x:c r="O37" s="12" t="str">
        <x:f t="shared" si="6">IF(OR($G37="",$H37="",$H37&lt;$G37),"",IF(AND(O$9&lt;=$H37,O$9+6&gt;=$G37),1,""))</x:f>
      </x:c>
      <x:c r="P37" s="13" t="str">
        <x:f t="shared" si="6">IF(OR($G37="",$H37="",$H37&lt;$G37),"",IF(AND(P$9&lt;=$H37,P$9+6&gt;=$G37),1,""))</x:f>
      </x:c>
      <x:c r="Q37" s="12" t="str">
        <x:f t="shared" si="6">IF(OR($G37="",$H37="",$H37&lt;$G37),"",IF(AND(Q$9&lt;=$H37,Q$9+6&gt;=$G37),1,""))</x:f>
      </x:c>
      <x:c r="R37" s="13" t="str">
        <x:f t="shared" si="6">IF(OR($G37="",$H37="",$H37&lt;$G37),"",IF(AND(R$9&lt;=$H37,R$9+6&gt;=$G37),1,""))</x:f>
      </x:c>
      <x:c r="S37" s="12" t="str">
        <x:f t="shared" si="6">IF(OR($G37="",$H37="",$H37&lt;$G37),"",IF(AND(S$9&lt;=$H37,S$9+6&gt;=$G37),1,""))</x:f>
      </x:c>
      <x:c r="T37" s="13" t="str">
        <x:f t="shared" si="6">IF(OR($G37="",$H37="",$H37&lt;$G37),"",IF(AND(T$9&lt;=$H37,T$9+6&gt;=$G37),1,""))</x:f>
      </x:c>
      <x:c r="U37" s="12" t="str">
        <x:f t="shared" si="7">IF(OR($G37="",$H37="",$H37&lt;$G37),"",IF(AND(U$9&lt;=$H37,U$9+6&gt;=$G37),1,""))</x:f>
      </x:c>
      <x:c r="V37" s="13" t="str">
        <x:f t="shared" si="7">IF(OR($G37="",$H37="",$H37&lt;$G37),"",IF(AND(V$9&lt;=$H37,V$9+6&gt;=$G37),1,""))</x:f>
      </x:c>
      <x:c r="W37" s="12" t="str">
        <x:f t="shared" si="7">IF(OR($G37="",$H37="",$H37&lt;$G37),"",IF(AND(W$9&lt;=$H37,W$9+6&gt;=$G37),1,""))</x:f>
      </x:c>
      <x:c r="X37" s="13" t="str">
        <x:f t="shared" si="7">IF(OR($G37="",$H37="",$H37&lt;$G37),"",IF(AND(X$9&lt;=$H37,X$9+6&gt;=$G37),1,""))</x:f>
      </x:c>
      <x:c r="Y37" s="12" t="str">
        <x:f t="shared" si="7">IF(OR($G37="",$H37="",$H37&lt;$G37),"",IF(AND(Y$9&lt;=$H37,Y$9+6&gt;=$G37),1,""))</x:f>
      </x:c>
      <x:c r="Z37" s="13" t="str">
        <x:f t="shared" si="7">IF(OR($G37="",$H37="",$H37&lt;$G37),"",IF(AND(Z$9&lt;=$H37,Z$9+6&gt;=$G37),1,""))</x:f>
      </x:c>
      <x:c r="AA37" s="12" t="str">
        <x:f t="shared" si="7">IF(OR($G37="",$H37="",$H37&lt;$G37),"",IF(AND(AA$9&lt;=$H37,AA$9+6&gt;=$G37),1,""))</x:f>
      </x:c>
      <x:c r="AB37" s="13" t="str">
        <x:f t="shared" si="7">IF(OR($G37="",$H37="",$H37&lt;$G37),"",IF(AND(AB$9&lt;=$H37,AB$9+6&gt;=$G37),1,""))</x:f>
      </x:c>
      <x:c r="AC37" s="12" t="str">
        <x:f t="shared" si="7">IF(OR($G37="",$H37="",$H37&lt;$G37),"",IF(AND(AC$9&lt;=$H37,AC$9+6&gt;=$G37),1,""))</x:f>
      </x:c>
      <x:c r="AD37" s="13" t="str">
        <x:f t="shared" si="7">IF(OR($G37="",$H37="",$H37&lt;$G37),"",IF(AND(AD$9&lt;=$H37,AD$9+6&gt;=$G37),1,""))</x:f>
      </x:c>
    </x:row>
    <x:row r="38" ht="24" customHeight="1">
      <x:c r="B38" s="54" t="str">
        <x:v>Continuidad</x:v>
      </x:c>
      <x:c r="C38" s="56" t="str">
        <x:v>Reinicio Windows, BitLocker y respaldo fuera del PC</x:v>
      </x:c>
      <x:c r="D38" s="57" t="str">
        <x:v>LDSM / soporte técnico</x:v>
      </x:c>
      <x:c r="E38" s="7" t="str">
        <x:v>No iniciada</x:v>
      </x:c>
      <x:c r="F38" s="7" t="str">
        <x:v>P0</x:v>
      </x:c>
      <x:c r="G38" s="51"/>
      <x:c r="H38" s="51"/>
      <x:c r="I38" s="11" t="str">
        <x:f t="shared" si="1">IF(OR(G38="",H38="",H38&lt;G38),"",H38-G38+1)</x:f>
      </x:c>
      <x:c r="J38" s="15"/>
      <x:c r="K38" s="12" t="str">
        <x:f t="shared" si="6">IF(OR($G38="",$H38="",$H38&lt;$G38),"",IF(AND(K$9&lt;=$H38,K$9+6&gt;=$G38),1,""))</x:f>
      </x:c>
      <x:c r="L38" s="13" t="str">
        <x:f t="shared" si="6">IF(OR($G38="",$H38="",$H38&lt;$G38),"",IF(AND(L$9&lt;=$H38,L$9+6&gt;=$G38),1,""))</x:f>
      </x:c>
      <x:c r="M38" s="12" t="str">
        <x:f t="shared" si="6">IF(OR($G38="",$H38="",$H38&lt;$G38),"",IF(AND(M$9&lt;=$H38,M$9+6&gt;=$G38),1,""))</x:f>
      </x:c>
      <x:c r="N38" s="13" t="str">
        <x:f t="shared" si="6">IF(OR($G38="",$H38="",$H38&lt;$G38),"",IF(AND(N$9&lt;=$H38,N$9+6&gt;=$G38),1,""))</x:f>
      </x:c>
      <x:c r="O38" s="12" t="str">
        <x:f t="shared" si="6">IF(OR($G38="",$H38="",$H38&lt;$G38),"",IF(AND(O$9&lt;=$H38,O$9+6&gt;=$G38),1,""))</x:f>
      </x:c>
      <x:c r="P38" s="13" t="str">
        <x:f t="shared" si="6">IF(OR($G38="",$H38="",$H38&lt;$G38),"",IF(AND(P$9&lt;=$H38,P$9+6&gt;=$G38),1,""))</x:f>
      </x:c>
      <x:c r="Q38" s="12" t="str">
        <x:f t="shared" si="6">IF(OR($G38="",$H38="",$H38&lt;$G38),"",IF(AND(Q$9&lt;=$H38,Q$9+6&gt;=$G38),1,""))</x:f>
      </x:c>
      <x:c r="R38" s="13" t="str">
        <x:f t="shared" si="6">IF(OR($G38="",$H38="",$H38&lt;$G38),"",IF(AND(R$9&lt;=$H38,R$9+6&gt;=$G38),1,""))</x:f>
      </x:c>
      <x:c r="S38" s="12" t="str">
        <x:f t="shared" si="6">IF(OR($G38="",$H38="",$H38&lt;$G38),"",IF(AND(S$9&lt;=$H38,S$9+6&gt;=$G38),1,""))</x:f>
      </x:c>
      <x:c r="T38" s="13" t="str">
        <x:f t="shared" si="6">IF(OR($G38="",$H38="",$H38&lt;$G38),"",IF(AND(T$9&lt;=$H38,T$9+6&gt;=$G38),1,""))</x:f>
      </x:c>
      <x:c r="U38" s="12" t="str">
        <x:f t="shared" si="7">IF(OR($G38="",$H38="",$H38&lt;$G38),"",IF(AND(U$9&lt;=$H38,U$9+6&gt;=$G38),1,""))</x:f>
      </x:c>
      <x:c r="V38" s="13" t="str">
        <x:f t="shared" si="7">IF(OR($G38="",$H38="",$H38&lt;$G38),"",IF(AND(V$9&lt;=$H38,V$9+6&gt;=$G38),1,""))</x:f>
      </x:c>
      <x:c r="W38" s="12" t="str">
        <x:f t="shared" si="7">IF(OR($G38="",$H38="",$H38&lt;$G38),"",IF(AND(W$9&lt;=$H38,W$9+6&gt;=$G38),1,""))</x:f>
      </x:c>
      <x:c r="X38" s="13" t="str">
        <x:f t="shared" si="7">IF(OR($G38="",$H38="",$H38&lt;$G38),"",IF(AND(X$9&lt;=$H38,X$9+6&gt;=$G38),1,""))</x:f>
      </x:c>
      <x:c r="Y38" s="12" t="str">
        <x:f t="shared" si="7">IF(OR($G38="",$H38="",$H38&lt;$G38),"",IF(AND(Y$9&lt;=$H38,Y$9+6&gt;=$G38),1,""))</x:f>
      </x:c>
      <x:c r="Z38" s="13" t="str">
        <x:f t="shared" si="7">IF(OR($G38="",$H38="",$H38&lt;$G38),"",IF(AND(Z$9&lt;=$H38,Z$9+6&gt;=$G38),1,""))</x:f>
      </x:c>
      <x:c r="AA38" s="12" t="str">
        <x:f t="shared" si="7">IF(OR($G38="",$H38="",$H38&lt;$G38),"",IF(AND(AA$9&lt;=$H38,AA$9+6&gt;=$G38),1,""))</x:f>
      </x:c>
      <x:c r="AB38" s="13" t="str">
        <x:f t="shared" si="7">IF(OR($G38="",$H38="",$H38&lt;$G38),"",IF(AND(AB$9&lt;=$H38,AB$9+6&gt;=$G38),1,""))</x:f>
      </x:c>
      <x:c r="AC38" s="12" t="str">
        <x:f t="shared" si="7">IF(OR($G38="",$H38="",$H38&lt;$G38),"",IF(AND(AC$9&lt;=$H38,AC$9+6&gt;=$G38),1,""))</x:f>
      </x:c>
      <x:c r="AD38" s="13" t="str">
        <x:f t="shared" si="7">IF(OR($G38="",$H38="",$H38&lt;$G38),"",IF(AND(AD$9&lt;=$H38,AD$9+6&gt;=$G38),1,""))</x:f>
      </x:c>
    </x:row>
    <x:row r="39" ht="24" customHeight="1">
      <x:c r="B39" s="55" t="str">
        <x:v>Gobernanza</x:v>
      </x:c>
      <x:c r="C39" s="58" t="str">
        <x:v>Aprobar responsables, retención y evidencia de aceptación</x:v>
      </x:c>
      <x:c r="D39" s="59" t="str">
        <x:v>Dirección LDSM</x:v>
      </x:c>
      <x:c r="E39" s="8" t="str">
        <x:v>No iniciada</x:v>
      </x:c>
      <x:c r="F39" s="8" t="str">
        <x:v>P0</x:v>
      </x:c>
      <x:c r="G39" s="50"/>
      <x:c r="H39" s="50"/>
      <x:c r="I39" s="11" t="str">
        <x:f t="shared" si="1">IF(OR(G39="",H39="",H39&lt;G39),"",H39-G39+1)</x:f>
      </x:c>
      <x:c r="J39" s="15"/>
      <x:c r="K39" s="12" t="str">
        <x:f t="shared" si="6">IF(OR($G39="",$H39="",$H39&lt;$G39),"",IF(AND(K$9&lt;=$H39,K$9+6&gt;=$G39),1,""))</x:f>
      </x:c>
      <x:c r="L39" s="13" t="str">
        <x:f t="shared" si="6">IF(OR($G39="",$H39="",$H39&lt;$G39),"",IF(AND(L$9&lt;=$H39,L$9+6&gt;=$G39),1,""))</x:f>
      </x:c>
      <x:c r="M39" s="12" t="str">
        <x:f t="shared" si="6">IF(OR($G39="",$H39="",$H39&lt;$G39),"",IF(AND(M$9&lt;=$H39,M$9+6&gt;=$G39),1,""))</x:f>
      </x:c>
      <x:c r="N39" s="13" t="str">
        <x:f t="shared" si="6">IF(OR($G39="",$H39="",$H39&lt;$G39),"",IF(AND(N$9&lt;=$H39,N$9+6&gt;=$G39),1,""))</x:f>
      </x:c>
      <x:c r="O39" s="12" t="str">
        <x:f t="shared" si="6">IF(OR($G39="",$H39="",$H39&lt;$G39),"",IF(AND(O$9&lt;=$H39,O$9+6&gt;=$G39),1,""))</x:f>
      </x:c>
      <x:c r="P39" s="13" t="str">
        <x:f t="shared" si="6">IF(OR($G39="",$H39="",$H39&lt;$G39),"",IF(AND(P$9&lt;=$H39,P$9+6&gt;=$G39),1,""))</x:f>
      </x:c>
      <x:c r="Q39" s="12" t="str">
        <x:f t="shared" si="6">IF(OR($G39="",$H39="",$H39&lt;$G39),"",IF(AND(Q$9&lt;=$H39,Q$9+6&gt;=$G39),1,""))</x:f>
      </x:c>
      <x:c r="R39" s="13" t="str">
        <x:f t="shared" si="6">IF(OR($G39="",$H39="",$H39&lt;$G39),"",IF(AND(R$9&lt;=$H39,R$9+6&gt;=$G39),1,""))</x:f>
      </x:c>
      <x:c r="S39" s="12" t="str">
        <x:f t="shared" si="6">IF(OR($G39="",$H39="",$H39&lt;$G39),"",IF(AND(S$9&lt;=$H39,S$9+6&gt;=$G39),1,""))</x:f>
      </x:c>
      <x:c r="T39" s="13" t="str">
        <x:f t="shared" si="6">IF(OR($G39="",$H39="",$H39&lt;$G39),"",IF(AND(T$9&lt;=$H39,T$9+6&gt;=$G39),1,""))</x:f>
      </x:c>
      <x:c r="U39" s="12" t="str">
        <x:f t="shared" si="7">IF(OR($G39="",$H39="",$H39&lt;$G39),"",IF(AND(U$9&lt;=$H39,U$9+6&gt;=$G39),1,""))</x:f>
      </x:c>
      <x:c r="V39" s="13" t="str">
        <x:f t="shared" si="7">IF(OR($G39="",$H39="",$H39&lt;$G39),"",IF(AND(V$9&lt;=$H39,V$9+6&gt;=$G39),1,""))</x:f>
      </x:c>
      <x:c r="W39" s="12" t="str">
        <x:f t="shared" si="7">IF(OR($G39="",$H39="",$H39&lt;$G39),"",IF(AND(W$9&lt;=$H39,W$9+6&gt;=$G39),1,""))</x:f>
      </x:c>
      <x:c r="X39" s="13" t="str">
        <x:f t="shared" si="7">IF(OR($G39="",$H39="",$H39&lt;$G39),"",IF(AND(X$9&lt;=$H39,X$9+6&gt;=$G39),1,""))</x:f>
      </x:c>
      <x:c r="Y39" s="12" t="str">
        <x:f t="shared" si="7">IF(OR($G39="",$H39="",$H39&lt;$G39),"",IF(AND(Y$9&lt;=$H39,Y$9+6&gt;=$G39),1,""))</x:f>
      </x:c>
      <x:c r="Z39" s="13" t="str">
        <x:f t="shared" si="7">IF(OR($G39="",$H39="",$H39&lt;$G39),"",IF(AND(Z$9&lt;=$H39,Z$9+6&gt;=$G39),1,""))</x:f>
      </x:c>
      <x:c r="AA39" s="12" t="str">
        <x:f t="shared" si="7">IF(OR($G39="",$H39="",$H39&lt;$G39),"",IF(AND(AA$9&lt;=$H39,AA$9+6&gt;=$G39),1,""))</x:f>
      </x:c>
      <x:c r="AB39" s="13" t="str">
        <x:f t="shared" si="7">IF(OR($G39="",$H39="",$H39&lt;$G39),"",IF(AND(AB$9&lt;=$H39,AB$9+6&gt;=$G39),1,""))</x:f>
      </x:c>
      <x:c r="AC39" s="12" t="str">
        <x:f t="shared" si="7">IF(OR($G39="",$H39="",$H39&lt;$G39),"",IF(AND(AC$9&lt;=$H39,AC$9+6&gt;=$G39),1,""))</x:f>
      </x:c>
      <x:c r="AD39" s="13" t="str">
        <x:f t="shared" si="7">IF(OR($G39="",$H39="",$H39&lt;$G39),"",IF(AND(AD$9&lt;=$H39,AD$9+6&gt;=$G39),1,""))</x:f>
      </x:c>
    </x:row>
    <x:row r="40"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  <x:c r="AA40" s="15"/>
      <x:c r="AB40" s="15"/>
      <x:c r="AC40" s="15"/>
      <x:c r="AD40" s="15"/>
    </x:row>
    <x:row r="41" ht="28" customHeight="1">
      <x:c r="B41" s="60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C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D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E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F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G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H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I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J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K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L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M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N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O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P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Q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R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S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T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U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V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W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X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Y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Z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AA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AB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AC41" s="61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AD41" s="62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</x:row>
    <x:row r="42" ht="28" customHeight="1">
      <x:c r="B42" s="63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C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D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E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F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G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H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I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J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K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L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M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N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O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P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Q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R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S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T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U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V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W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X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Y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Z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AA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AB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AC42" s="64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  <x:c r="AD42" s="65" t="str">
        <x:v>Estado al 1 ago 2026: 24 de 30 tareas completadas y publicación controlada en la rama test. La regresión automatizada, UI, flujos web, ERP oficial y restauración aislada están aprobados localmente. Las 6 tareas restantes requieren intervención física o institucional en el colegio: PC servidor, red, HTTPS confiable, dispositivos, continuidad, responsables y aceptación.</x:v>
      </x:c>
    </x:row>
  </x:sheetData>
  <x:mergeCells>
    <x:mergeCell ref="B8:I8"/>
    <x:mergeCell ref="K8:AD8"/>
    <x:mergeCell ref="B41:AD42"/>
    <x:mergeCell ref="S6:V6"/>
    <x:mergeCell ref="W5:Z5"/>
    <x:mergeCell ref="W6:Z6"/>
    <x:mergeCell ref="AA5:AD5"/>
    <x:mergeCell ref="AA6:AD6"/>
    <x:mergeCell ref="C6:E6"/>
    <x:mergeCell ref="H6:I6"/>
    <x:mergeCell ref="K5:N5"/>
    <x:mergeCell ref="K6:N6"/>
    <x:mergeCell ref="O5:R5"/>
    <x:mergeCell ref="O6:R6"/>
    <x:mergeCell ref="F6:G6"/>
    <x:mergeCell ref="B2:R2"/>
    <x:mergeCell ref="S2:AD2"/>
    <x:mergeCell ref="B4:I4"/>
    <x:mergeCell ref="K4:AD4"/>
    <x:mergeCell ref="C5:E5"/>
    <x:mergeCell ref="H5:I5"/>
    <x:mergeCell ref="S5:V5"/>
    <x:mergeCell ref="F5:G5"/>
  </x:mergeCells>
  <x:conditionalFormatting sqref="F10:F39">
    <x:cfRule type="expression" dxfId="6" priority="5">
      <x:formula>$F10="P0"</x:formula>
    </x:cfRule>
    <x:cfRule type="expression" dxfId="5" priority="6">
      <x:formula>$F10="P1"</x:formula>
    </x:cfRule>
    <x:cfRule type="expression" dxfId="4" priority="7">
      <x:formula>$F10="P2"</x:formula>
    </x:cfRule>
  </x:conditionalFormatting>
  <x:conditionalFormatting sqref="E10:E39">
    <x:cfRule type="containsText" dxfId="11" priority="12" operator="containsText" text="Completada"/>
    <x:cfRule type="containsText" dxfId="12" priority="13" operator="containsText" text="En curso"/>
    <x:cfRule type="containsText" dxfId="13" priority="14" operator="containsText" text="En riesgo"/>
    <x:cfRule type="containsText" dxfId="14" priority="15" operator="containsText" text="No iniciada"/>
  </x:conditionalFormatting>
  <x:conditionalFormatting sqref="K10:AD39">
    <x:cfRule type="expression" dxfId="15" priority="16">
      <x:formula>AND(K10=1,$E10="Completada")</x:formula>
    </x:cfRule>
    <x:cfRule type="expression" dxfId="16" priority="17">
      <x:formula>AND(K10=1,$E10="En curso")</x:formula>
    </x:cfRule>
    <x:cfRule type="expression" dxfId="17" priority="18">
      <x:formula>AND(K10=1,$E10="En riesgo")</x:formula>
    </x:cfRule>
    <x:cfRule type="expression" dxfId="18" priority="19">
      <x:formula>AND(K10=1,$E10="No iniciada")</x:formula>
    </x:cfRule>
  </x:conditionalFormatting>
  <x:dataValidations count="4">
    <x:dataValidation type="list" sqref="B10:B39">
      <x:formula1>"Product,Engineering,Design,Growth,Support &amp; Ops,Legal &amp; Security"</x:formula1>
    </x:dataValidation>
    <x:dataValidation type="list" sqref="D10:D39">
      <x:formula1>"Maya Chen,Lena Ortiz,Noah Patel,Ravi Singh,Ivy Park,Sofia Reed,Miles Grant,Ava Brooks,Ethan Cole"</x:formula1>
    </x:dataValidation>
    <x:dataValidation type="list" sqref="E10:E39">
      <x:formula1>"No iniciada,En curso,Completada,En riesgo"</x:formula1>
    </x:dataValidation>
    <x:dataValidation type="list" sqref="F10:F39">
      <x:formula1>"P0,P1,P2"</x:formula1>
    </x:dataValidation>
  </x:dataValidations>
  <x:pageMargins left="0.7" right="0.7" top="0.75" bottom="0.75" header="0.3" footer="0.3"/>
</x:worksheet>
</file>