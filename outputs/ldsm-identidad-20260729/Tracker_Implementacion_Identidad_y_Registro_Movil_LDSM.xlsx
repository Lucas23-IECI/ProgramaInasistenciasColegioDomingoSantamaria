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b6b3fa880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127d0521483c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mmm d"/>
    <x:numFmt numFmtId="201" formatCode="mmm d, yyyy"/>
  </x:numFmts>
  <x:fonts count="1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9"/>
      <x:color rgb="FF3E329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201" fontId="14" fillId="5" borderId="2" xfId="0" applyNumberFormat="1" applyFont="1" applyFill="1" applyBorder="1" applyAlignment="1">
      <x:alignment horizontal="left" vertical="center"/>
    </x:xf>
    <x:xf numFmtId="200" fontId="10" fillId="6" borderId="1" xfId="0" applyNumberFormat="1" applyFont="1" applyFill="1" applyBorder="1" applyAlignment="1">
      <x:alignment horizontal="center" vertical="center" wrapText="1"/>
    </x:xf>
    <x:xf numFmtId="0" fontId="15" fillId="7" borderId="1" xfId="0" applyNumberFormat="1" applyFont="1" applyFill="1" applyBorder="1" applyAlignment="1">
      <x:alignment horizontal="left" vertical="center"/>
    </x:xf>
    <x:xf numFmtId="0" fontId="15" fillId="4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left" vertical="center" wrapText="1"/>
    </x:xf>
    <x:xf numFmtId="0" fontId="11" fillId="4" borderId="1" xfId="0" applyNumberFormat="1" applyFont="1" applyFill="1" applyBorder="1" applyAlignment="1">
      <x:alignment horizontal="left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9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color rgb="FF087F5B"/>
      </x:font>
      <x:fill>
        <x:patternFill patternType="solid">
          <x:bgColor rgb="FFDDF7EC"/>
        </x:patternFill>
      </x:fill>
    </x:dxf>
    <x:dxf>
      <x:font>
        <x:color rgb="FF315FD5"/>
      </x:font>
      <x:fill>
        <x:patternFill patternType="solid">
          <x:bgColor rgb="FFE7EEFF"/>
        </x:patternFill>
      </x:fill>
    </x:dxf>
    <x:dxf>
      <x:font>
        <x:color rgb="FFD6334C"/>
      </x:font>
      <x:fill>
        <x:patternFill patternType="solid">
          <x:bgColor rgb="FFFFE3E8"/>
        </x:patternFill>
      </x:fill>
    </x:dxf>
    <x:dxf>
      <x:font>
        <x:color rgb="FF7048C8"/>
      </x:font>
      <x:fill>
        <x:patternFill patternType="solid">
          <x:bgColor rgb="FFF0E7FF"/>
        </x:patternFill>
      </x:fill>
    </x:dxf>
    <x:dxf>
      <x:fill>
        <x:patternFill patternType="solid">
          <x:bgColor rgb="FF10BFA4"/>
        </x:patternFill>
      </x:fill>
    </x:dxf>
    <x:dxf>
      <x:fill>
        <x:patternFill patternType="solid">
          <x:bgColor rgb="FF4C78F5"/>
        </x:patternFill>
      </x:fill>
    </x:dxf>
    <x:dxf>
      <x:fill>
        <x:patternFill patternType="solid">
          <x:bgColor rgb="FFFF5D73"/>
        </x:patternFill>
      </x:fill>
    </x:dxf>
    <x:dxf>
      <x:fill>
        <x:patternFill patternType="solid">
          <x:bgColor rgb="FF9B6B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ed6a220f642fb" /><Relationship Type="http://schemas.openxmlformats.org/officeDocument/2006/relationships/theme" Target="/xl/theme/theme1.xml" Id="Rf1c88eca41234915" /><Relationship Type="http://schemas.openxmlformats.org/officeDocument/2006/relationships/sharedStrings" Target="/xl/sharedStrings.xml" Id="R3f87dd6caa734f1e" /><Relationship Type="http://schemas.openxmlformats.org/officeDocument/2006/relationships/worksheet" Target="/xl/worksheets/sheet1.xml" Id="R127d0521483c4f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8" style="14" hidden="0" customWidth="1"/>
    <x:col min="3" max="3" width="42" style="14" hidden="0" customWidth="1"/>
    <x:col min="4" max="4" width="19" style="14" hidden="0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Tracker maestro · Identidad estudiantil y registro móvil LDSM</x:v>
      </x:c>
      <x:c r="C2" s="19" t="str">
        <x:v>Tracker maestro · Identidad estudiantil y registro móvil LDSM</x:v>
      </x:c>
      <x:c r="D2" s="19" t="str">
        <x:v>Tracker maestro · Identidad estudiantil y registro móvil LDSM</x:v>
      </x:c>
      <x:c r="E2" s="19" t="str">
        <x:v>Tracker maestro · Identidad estudiantil y registro móvil LDSM</x:v>
      </x:c>
      <x:c r="F2" s="19" t="str">
        <x:v>Tracker maestro · Identidad estudiantil y registro móvil LDSM</x:v>
      </x:c>
      <x:c r="G2" s="19" t="str">
        <x:v>Tracker maestro · Identidad estudiantil y registro móvil LDSM</x:v>
      </x:c>
      <x:c r="H2" s="19" t="str">
        <x:v>Tracker maestro · Identidad estudiantil y registro móvil LDSM</x:v>
      </x:c>
      <x:c r="I2" s="19" t="str">
        <x:v>Tracker maestro · Identidad estudiantil y registro móvil LDSM</x:v>
      </x:c>
      <x:c r="J2" s="19" t="str">
        <x:v>Tracker maestro · Identidad estudiantil y registro móvil LDSM</x:v>
      </x:c>
      <x:c r="K2" s="19" t="str">
        <x:v>Tracker maestro · Identidad estudiantil y registro móvil LDSM</x:v>
      </x:c>
      <x:c r="L2" s="19" t="str">
        <x:v>Tracker maestro · Identidad estudiantil y registro móvil LDSM</x:v>
      </x:c>
      <x:c r="M2" s="19" t="str">
        <x:v>Tracker maestro · Identidad estudiantil y registro móvil LDSM</x:v>
      </x:c>
      <x:c r="N2" s="19" t="str">
        <x:v>Tracker maestro · Identidad estudiantil y registro móvil LDSM</x:v>
      </x:c>
      <x:c r="O2" s="19" t="str">
        <x:v>Tracker maestro · Identidad estudiantil y registro móvil LDSM</x:v>
      </x:c>
      <x:c r="P2" s="19" t="str">
        <x:v>Tracker maestro · Identidad estudiantil y registro móvil LDSM</x:v>
      </x:c>
      <x:c r="Q2" s="19" t="str">
        <x:v>Tracker maestro · Identidad estudiantil y registro móvil LDSM</x:v>
      </x:c>
      <x:c r="R2" s="19" t="str">
        <x:v>Tracker maestro · Identidad estudiantil y registro móvil LDSM</x:v>
      </x:c>
      <x:c r="S2" s="20" t="str">
        <x:v>Tracker maestro · Identidad estudiantil y registro móvil LDSM</x:v>
      </x:c>
      <x:c r="T2" s="20" t="str">
        <x:v>Tracker maestro · Identidad estudiantil y registro móvil LDSM</x:v>
      </x:c>
      <x:c r="U2" s="20" t="str">
        <x:v>Tracker maestro · Identidad estudiantil y registro móvil LDSM</x:v>
      </x:c>
      <x:c r="V2" s="20" t="str">
        <x:v>Tracker maestro · Identidad estudiantil y registro móvil LDSM</x:v>
      </x:c>
      <x:c r="W2" s="20" t="str">
        <x:v>Tracker maestro · Identidad estudiantil y registro móvil LDSM</x:v>
      </x:c>
      <x:c r="X2" s="20" t="str">
        <x:v>Tracker maestro · Identidad estudiantil y registro móvil LDSM</x:v>
      </x:c>
      <x:c r="Y2" s="20" t="str">
        <x:v>Tracker maestro · Identidad estudiantil y registro móvil LDSM</x:v>
      </x:c>
      <x:c r="Z2" s="20" t="str">
        <x:v>Tracker maestro · Identidad estudiantil y registro móvil LDSM</x:v>
      </x:c>
      <x:c r="AA2" s="20" t="str">
        <x:v>Tracker maestro · Identidad estudiantil y registro móvil LDSM</x:v>
      </x:c>
      <x:c r="AB2" s="20" t="str">
        <x:v>Tracker maestro · Identidad estudiantil y registro móvil LDSM</x:v>
      </x:c>
      <x:c r="AC2" s="20" t="str">
        <x:v>Tracker maestro · Identidad estudiantil y registro móvil LDSM</x:v>
      </x:c>
      <x:c r="AD2" s="20" t="str">
        <x:v>Tracker maestro · Identidad estudiantil y registro móvil LDSM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tr">
        <x:v>PERFIL DEL PROYECTO</x:v>
      </x:c>
      <x:c r="C4" s="21" t="str">
        <x:v>PERFIL DEL PROYECTO</x:v>
      </x:c>
      <x:c r="D4" s="21" t="str">
        <x:v>PERFIL DEL PROYECTO</x:v>
      </x:c>
      <x:c r="E4" s="21" t="str">
        <x:v>PERFIL DEL PROYECTO</x:v>
      </x:c>
      <x:c r="F4" s="21" t="str">
        <x:v>PERFIL DEL PROYECTO</x:v>
      </x:c>
      <x:c r="G4" s="21" t="str">
        <x:v>PERFIL DEL PROYECTO</x:v>
      </x:c>
      <x:c r="H4" s="21" t="str">
        <x:v>PERFIL DEL PROYECTO</x:v>
      </x:c>
      <x:c r="I4" s="21" t="str">
        <x:v>PERFIL DEL PROYECTO</x:v>
      </x:c>
      <x:c r="J4" s="15"/>
      <x:c r="K4" s="21" t="str">
        <x:v>PULSO DE IMPLEMENTACIÓN</x:v>
      </x:c>
      <x:c r="L4" s="21" t="str">
        <x:v>PULSO DE IMPLEMENTACIÓN</x:v>
      </x:c>
      <x:c r="M4" s="21" t="str">
        <x:v>PULSO DE IMPLEMENTACIÓN</x:v>
      </x:c>
      <x:c r="N4" s="21" t="str">
        <x:v>PULSO DE IMPLEMENTACIÓN</x:v>
      </x:c>
      <x:c r="O4" s="21" t="str">
        <x:v>PULSO DE IMPLEMENTACIÓN</x:v>
      </x:c>
      <x:c r="P4" s="21" t="str">
        <x:v>PULSO DE IMPLEMENTACIÓN</x:v>
      </x:c>
      <x:c r="Q4" s="21" t="str">
        <x:v>PULSO DE IMPLEMENTACIÓN</x:v>
      </x:c>
      <x:c r="R4" s="21" t="str">
        <x:v>PULSO DE IMPLEMENTACIÓN</x:v>
      </x:c>
      <x:c r="S4" s="21" t="str">
        <x:v>PULSO DE IMPLEMENTACIÓN</x:v>
      </x:c>
      <x:c r="T4" s="21" t="str">
        <x:v>PULSO DE IMPLEMENTACIÓN</x:v>
      </x:c>
      <x:c r="U4" s="21" t="str">
        <x:v>PULSO DE IMPLEMENTACIÓN</x:v>
      </x:c>
      <x:c r="V4" s="21" t="str">
        <x:v>PULSO DE IMPLEMENTACIÓN</x:v>
      </x:c>
      <x:c r="W4" s="21" t="str">
        <x:v>PULSO DE IMPLEMENTACIÓN</x:v>
      </x:c>
      <x:c r="X4" s="21" t="str">
        <x:v>PULSO DE IMPLEMENTACIÓN</x:v>
      </x:c>
      <x:c r="Y4" s="21" t="str">
        <x:v>PULSO DE IMPLEMENTACIÓN</x:v>
      </x:c>
      <x:c r="Z4" s="21" t="str">
        <x:v>PULSO DE IMPLEMENTACIÓN</x:v>
      </x:c>
      <x:c r="AA4" s="21" t="str">
        <x:v>PULSO DE IMPLEMENTACIÓN</x:v>
      </x:c>
      <x:c r="AB4" s="21" t="str">
        <x:v>PULSO DE IMPLEMENTACIÓN</x:v>
      </x:c>
      <x:c r="AC4" s="21" t="str">
        <x:v>PULSO DE IMPLEMENTACIÓN</x:v>
      </x:c>
      <x:c r="AD4" s="21" t="str">
        <x:v>PULSO DE IMPLEMENTACIÓN</x:v>
      </x:c>
    </x:row>
    <x:row r="5" ht="22" customHeight="1">
      <x:c r="B5" s="18" t="str">
        <x:v>Proyecto</x:v>
      </x:c>
      <x:c r="C5" s="22" t="str">
        <x:v>Identidad y registro móvil LDSM</x:v>
      </x:c>
      <x:c r="D5" s="22" t="str">
        <x:v>Identidad y registro móvil LDSM</x:v>
      </x:c>
      <x:c r="E5" s="22" t="str">
        <x:v>Identidad y registro móvil LDSM</x:v>
      </x:c>
      <x:c r="F5" s="27" t="str">
        <x:v>Responsables</x:v>
      </x:c>
      <x:c r="G5" s="28" t="str">
        <x:v>Responsables</x:v>
      </x:c>
      <x:c r="H5" s="23" t="str">
        <x:v>Lucas / Codex</x:v>
      </x:c>
      <x:c r="I5" s="23" t="str">
        <x:v>Lucas / Codex</x:v>
      </x:c>
      <x:c r="J5" s="15"/>
      <x:c r="K5" s="24" t="str">
        <x:v>TAREAS TOTALES</x:v>
      </x:c>
      <x:c r="L5" s="25" t="str">
        <x:v>TAREAS TOTALES</x:v>
      </x:c>
      <x:c r="M5" s="25" t="str">
        <x:v>TAREAS TOTALES</x:v>
      </x:c>
      <x:c r="N5" s="26" t="str">
        <x:v>TAREAS TOTALES</x:v>
      </x:c>
      <x:c r="O5" s="24" t="str">
        <x:v>COMPLETADAS</x:v>
      </x:c>
      <x:c r="P5" s="25" t="str">
        <x:v>COMPLETADAS</x:v>
      </x:c>
      <x:c r="Q5" s="25" t="str">
        <x:v>COMPLETADAS</x:v>
      </x:c>
      <x:c r="R5" s="26" t="str">
        <x:v>COMPLETADAS</x:v>
      </x:c>
      <x:c r="S5" s="24" t="str">
        <x:v>EN CURSO</x:v>
      </x:c>
      <x:c r="T5" s="25" t="str">
        <x:v>EN CURSO</x:v>
      </x:c>
      <x:c r="U5" s="25" t="str">
        <x:v>EN CURSO</x:v>
      </x:c>
      <x:c r="V5" s="26" t="str">
        <x:v>EN CURSO</x:v>
      </x:c>
      <x:c r="W5" s="24" t="str">
        <x:v>EN RIESGO</x:v>
      </x:c>
      <x:c r="X5" s="25" t="str">
        <x:v>EN RIESGO</x:v>
      </x:c>
      <x:c r="Y5" s="25" t="str">
        <x:v>EN RIESGO</x:v>
      </x:c>
      <x:c r="Z5" s="26" t="str">
        <x:v>EN RIESGO</x:v>
      </x:c>
      <x:c r="AA5" s="24" t="str">
        <x:v>TAREAS P0</x:v>
      </x:c>
      <x:c r="AB5" s="25" t="str">
        <x:v>TAREAS P0</x:v>
      </x:c>
      <x:c r="AC5" s="25" t="str">
        <x:v>TAREAS P0</x:v>
      </x:c>
      <x:c r="AD5" s="26" t="str">
        <x:v>TAREAS P0</x:v>
      </x:c>
    </x:row>
    <x:row r="6" ht="22" customHeight="1">
      <x:c r="B6" s="18" t="str">
        <x:v>Institución</x:v>
      </x:c>
      <x:c r="C6" s="23" t="str">
        <x:v>Liceo Domingo Santa María</x:v>
      </x:c>
      <x:c r="D6" s="23" t="str">
        <x:v>Liceo Domingo Santa María</x:v>
      </x:c>
      <x:c r="E6" s="23" t="str">
        <x:v>Liceo Domingo Santa María</x:v>
      </x:c>
      <x:c r="F6" s="27" t="str">
        <x:v>Inicio del plan</x:v>
      </x:c>
      <x:c r="G6" s="28" t="str">
        <x:v>Inicio del plan</x:v>
      </x:c>
      <x:c r="H6" s="52" t="n">
        <x:v>46232</x:v>
      </x:c>
      <x:c r="I6" s="52" t="n">
        <x:v>46232</x:v>
      </x:c>
      <x:c r="J6" s="15"/>
      <x:c r="K6" s="42" t="n">
        <x:f>COUNTA($C$10:$C$39)</x:f>
        <x:v>30</x:v>
      </x:c>
      <x:c r="L6" s="43"/>
      <x:c r="M6" s="43"/>
      <x:c r="N6" s="44"/>
      <x:c r="O6" s="45" t="n">
        <x:f>COUNTIF($E$10:$E$39,"Completada")</x:f>
        <x:v>18</x:v>
      </x:c>
      <x:c r="P6" s="46"/>
      <x:c r="Q6" s="46"/>
      <x:c r="R6" s="47"/>
      <x:c r="S6" s="35" t="n">
        <x:f>COUNTIF($E$10:$E$39,"En curso")</x:f>
        <x:v>0</x:v>
      </x:c>
      <x:c r="T6" s="36"/>
      <x:c r="U6" s="36"/>
      <x:c r="V6" s="37"/>
      <x:c r="W6" s="38" t="n">
        <x:f>COUNTIF($E$10:$E$39,"En riesgo")</x:f>
        <x:v>0</x:v>
      </x:c>
      <x:c r="X6" s="39"/>
      <x:c r="Y6" s="39"/>
      <x:c r="Z6" s="40"/>
      <x:c r="AA6" s="38" t="n">
        <x:f>COUNTIF($F$10:$F$39,"P0")</x:f>
        <x:v>20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tr">
        <x:v>PLAN DE TRABAJO</x:v>
      </x:c>
      <x:c r="C8" s="21" t="str">
        <x:v>PLAN DE TRABAJO</x:v>
      </x:c>
      <x:c r="D8" s="21" t="str">
        <x:v>PLAN DE TRABAJO</x:v>
      </x:c>
      <x:c r="E8" s="21" t="str">
        <x:v>PLAN DE TRABAJO</x:v>
      </x:c>
      <x:c r="F8" s="21" t="str">
        <x:v>PLAN DE TRABAJO</x:v>
      </x:c>
      <x:c r="G8" s="21" t="str">
        <x:v>PLAN DE TRABAJO</x:v>
      </x:c>
      <x:c r="H8" s="21" t="str">
        <x:v>PLAN DE TRABAJO</x:v>
      </x:c>
      <x:c r="I8" s="21" t="str">
        <x:v>PLAN DE TRABAJO</x:v>
      </x:c>
      <x:c r="J8" s="15"/>
      <x:c r="K8" s="21" t="str">
        <x:v>GANTT · VISTA DE 20 SEMANAS</x:v>
      </x:c>
      <x:c r="L8" s="21" t="str">
        <x:v>GANTT · VISTA DE 20 SEMANAS</x:v>
      </x:c>
      <x:c r="M8" s="21" t="str">
        <x:v>GANTT · VISTA DE 20 SEMANAS</x:v>
      </x:c>
      <x:c r="N8" s="21" t="str">
        <x:v>GANTT · VISTA DE 20 SEMANAS</x:v>
      </x:c>
      <x:c r="O8" s="21" t="str">
        <x:v>GANTT · VISTA DE 20 SEMANAS</x:v>
      </x:c>
      <x:c r="P8" s="21" t="str">
        <x:v>GANTT · VISTA DE 20 SEMANAS</x:v>
      </x:c>
      <x:c r="Q8" s="21" t="str">
        <x:v>GANTT · VISTA DE 20 SEMANAS</x:v>
      </x:c>
      <x:c r="R8" s="21" t="str">
        <x:v>GANTT · VISTA DE 20 SEMANAS</x:v>
      </x:c>
      <x:c r="S8" s="21" t="str">
        <x:v>GANTT · VISTA DE 20 SEMANAS</x:v>
      </x:c>
      <x:c r="T8" s="21" t="str">
        <x:v>GANTT · VISTA DE 20 SEMANAS</x:v>
      </x:c>
      <x:c r="U8" s="21" t="str">
        <x:v>GANTT · VISTA DE 20 SEMANAS</x:v>
      </x:c>
      <x:c r="V8" s="21" t="str">
        <x:v>GANTT · VISTA DE 20 SEMANAS</x:v>
      </x:c>
      <x:c r="W8" s="21" t="str">
        <x:v>GANTT · VISTA DE 20 SEMANAS</x:v>
      </x:c>
      <x:c r="X8" s="21" t="str">
        <x:v>GANTT · VISTA DE 20 SEMANAS</x:v>
      </x:c>
      <x:c r="Y8" s="21" t="str">
        <x:v>GANTT · VISTA DE 20 SEMANAS</x:v>
      </x:c>
      <x:c r="Z8" s="21" t="str">
        <x:v>GANTT · VISTA DE 20 SEMANAS</x:v>
      </x:c>
      <x:c r="AA8" s="21" t="str">
        <x:v>GANTT · VISTA DE 20 SEMANAS</x:v>
      </x:c>
      <x:c r="AB8" s="21" t="str">
        <x:v>GANTT · VISTA DE 20 SEMANAS</x:v>
      </x:c>
      <x:c r="AC8" s="21" t="str">
        <x:v>GANTT · VISTA DE 20 SEMANAS</x:v>
      </x:c>
      <x:c r="AD8" s="21" t="str">
        <x:v>GANTT · VISTA DE 20 SEMANAS</x:v>
      </x:c>
    </x:row>
    <x:row r="9" ht="28" customHeight="1">
      <x:c r="B9" s="1" t="str">
        <x:v>Bloque</x:v>
      </x:c>
      <x:c r="C9" s="1" t="str">
        <x:v>Tarea</x:v>
      </x:c>
      <x:c r="D9" s="1" t="str">
        <x:v>Responsable</x:v>
      </x:c>
      <x:c r="E9" s="1" t="str">
        <x:v>Estado</x:v>
      </x:c>
      <x:c r="F9" s="1" t="str">
        <x:v>Prioridad</x:v>
      </x:c>
      <x:c r="G9" s="1" t="str">
        <x:v>Inicio</x:v>
      </x:c>
      <x:c r="H9" s="1" t="str">
        <x:v>Fin</x:v>
      </x:c>
      <x:c r="I9" s="1" t="str">
        <x:v>Días</x:v>
      </x:c>
      <x:c r="J9" s="15"/>
      <x:c r="K9" s="53" t="n">
        <x:f>$H$6</x:f>
        <x:v>46232</x:v>
      </x:c>
      <x:c r="L9" s="53" t="n">
        <x:f t="shared" ref="L9:AD9" si="0">K9+7</x:f>
        <x:v>46239</x:v>
      </x:c>
      <x:c r="M9" s="53" t="n">
        <x:f t="shared" si="0">L9+7</x:f>
        <x:v>46246</x:v>
      </x:c>
      <x:c r="N9" s="53" t="n">
        <x:f t="shared" si="0">M9+7</x:f>
        <x:v>46253</x:v>
      </x:c>
      <x:c r="O9" s="53" t="n">
        <x:f t="shared" si="0">N9+7</x:f>
        <x:v>46260</x:v>
      </x:c>
      <x:c r="P9" s="53" t="n">
        <x:f t="shared" si="0">O9+7</x:f>
        <x:v>46267</x:v>
      </x:c>
      <x:c r="Q9" s="53" t="n">
        <x:f t="shared" si="0">P9+7</x:f>
        <x:v>46274</x:v>
      </x:c>
      <x:c r="R9" s="53" t="n">
        <x:f t="shared" si="0">Q9+7</x:f>
        <x:v>46281</x:v>
      </x:c>
      <x:c r="S9" s="53" t="n">
        <x:f t="shared" si="0">R9+7</x:f>
        <x:v>46288</x:v>
      </x:c>
      <x:c r="T9" s="53" t="n">
        <x:f t="shared" si="0">S9+7</x:f>
        <x:v>46295</x:v>
      </x:c>
      <x:c r="U9" s="53" t="n">
        <x:f t="shared" si="0">T9+7</x:f>
        <x:v>46302</x:v>
      </x:c>
      <x:c r="V9" s="53" t="n">
        <x:f t="shared" si="0">U9+7</x:f>
        <x:v>46309</x:v>
      </x:c>
      <x:c r="W9" s="53" t="n">
        <x:f t="shared" si="0">V9+7</x:f>
        <x:v>46316</x:v>
      </x:c>
      <x:c r="X9" s="53" t="n">
        <x:f t="shared" si="0">W9+7</x:f>
        <x:v>46323</x:v>
      </x:c>
      <x:c r="Y9" s="53" t="n">
        <x:f t="shared" si="0">X9+7</x:f>
        <x:v>46330</x:v>
      </x:c>
      <x:c r="Z9" s="53" t="n">
        <x:f t="shared" si="0">Y9+7</x:f>
        <x:v>46337</x:v>
      </x:c>
      <x:c r="AA9" s="53" t="n">
        <x:f t="shared" si="0">Z9+7</x:f>
        <x:v>46344</x:v>
      </x:c>
      <x:c r="AB9" s="53" t="n">
        <x:f t="shared" si="0">AA9+7</x:f>
        <x:v>46351</x:v>
      </x:c>
      <x:c r="AC9" s="53" t="n">
        <x:f t="shared" si="0">AB9+7</x:f>
        <x:v>46358</x:v>
      </x:c>
      <x:c r="AD9" s="53" t="n">
        <x:f t="shared" si="0">AC9+7</x:f>
        <x:v>46365</x:v>
      </x:c>
    </x:row>
    <x:row r="10" ht="22" customHeight="1">
      <x:c r="B10" s="54" t="str">
        <x:v>Gobernanza ERP</x:v>
      </x:c>
      <x:c r="C10" s="56" t="str">
        <x:v>Mantener contrato inalterable del Excel ERP</x:v>
      </x:c>
      <x:c r="D10" s="58" t="str">
        <x:v>Codex</x:v>
      </x:c>
      <x:c r="E10" s="7" t="str">
        <x:v>Completada</x:v>
      </x:c>
      <x:c r="F10" s="7" t="str">
        <x:v>P0</x:v>
      </x:c>
      <x:c r="G10" s="48" t="n">
        <x:v>46232</x:v>
      </x:c>
      <x:c r="H10" s="48" t="n">
        <x:v>46232</x:v>
      </x:c>
      <x:c r="I10" s="11" t="n">
        <x:f t="shared" ref="I10:I39" si="1">IF(OR(G10="",H10="",H10&lt;G10),"",H10-G10+1)</x:f>
        <x:v>1</x:v>
      </x:c>
      <x:c r="J10" s="15"/>
      <x:c r="K10" s="12" t="n">
        <x:f t="shared" ref="K10:T19" si="2">IF(OR($G10="",$H10="",$H10&lt;$G10),"",IF(AND(K$9&lt;=$H10,K$9+6&gt;=$G10),1,""))</x:f>
        <x:v>1</x:v>
      </x:c>
      <x:c r="L10" s="13" t="str">
        <x:f t="shared" si="2">IF(OR($G10="",$H10="",$H10&lt;$G10),"",IF(AND(L$9&lt;=$H10,L$9+6&gt;=$G10),1,""))</x:f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 ht="22" customHeight="1">
      <x:c r="B11" s="55" t="str">
        <x:v>Gobernanza ERP</x:v>
      </x:c>
      <x:c r="C11" s="57" t="str">
        <x:v>Regresión oficial: 392 preparadas y 0 rechazadas</x:v>
      </x:c>
      <x:c r="D11" s="59" t="str">
        <x:v>Codex</x:v>
      </x:c>
      <x:c r="E11" s="8" t="str">
        <x:v>Completada</x:v>
      </x:c>
      <x:c r="F11" s="8" t="str">
        <x:v>P0</x:v>
      </x:c>
      <x:c r="G11" s="49" t="n">
        <x:v>46232</x:v>
      </x:c>
      <x:c r="H11" s="49" t="n">
        <x:v>46233</x:v>
      </x:c>
      <x:c r="I11" s="11" t="n">
        <x:f t="shared" si="1">IF(OR(G11="",H11="",H11&lt;G11),"",H11-G11+1)</x:f>
        <x:v>2</x:v>
      </x:c>
      <x:c r="J11" s="15"/>
      <x:c r="K11" s="12" t="n">
        <x:f t="shared" si="2">IF(OR($G11="",$H11="",$H11&lt;$G11),"",IF(AND(K$9&lt;=$H11,K$9+6&gt;=$G11),1,""))</x:f>
        <x:v>1</x:v>
      </x:c>
      <x:c r="L11" s="13" t="str">
        <x:f t="shared" si="2">IF(OR($G11="",$H11="",$H11&lt;$G11),"",IF(AND(L$9&lt;=$H11,L$9+6&gt;=$G11),1,""))</x:f>
      </x:c>
      <x:c r="M11" s="12" t="str">
        <x:f t="shared" si="2">IF(OR($G11="",$H11="",$H11&lt;$G11),"",IF(AND(M$9&lt;=$H11,M$9+6&gt;=$G11),1,""))</x:f>
      </x:c>
      <x:c r="N11" s="13" t="str">
        <x:f t="shared" si="2">IF(OR($G11="",$H11="",$H11&lt;$G11),"",IF(AND(N$9&lt;=$H11,N$9+6&gt;=$G11),1,""))</x:f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 ht="22" customHeight="1">
      <x:c r="B12" s="54" t="str">
        <x:v>Identidad</x:v>
      </x:c>
      <x:c r="C12" s="56" t="str">
        <x:v>Diseñar modelo de identificadores múltiples</x:v>
      </x:c>
      <x:c r="D12" s="58" t="str">
        <x:v>Codex</x:v>
      </x:c>
      <x:c r="E12" s="7" t="str">
        <x:v>Completada</x:v>
      </x:c>
      <x:c r="F12" s="7" t="str">
        <x:v>P0</x:v>
      </x:c>
      <x:c r="G12" s="48" t="n">
        <x:v>46232</x:v>
      </x:c>
      <x:c r="H12" s="48" t="n">
        <x:v>46232</x:v>
      </x:c>
      <x:c r="I12" s="11" t="n">
        <x:f t="shared" si="1">IF(OR(G12="",H12="",H12&lt;G12),"",H12-G12+1)</x:f>
        <x:v>1</x:v>
      </x:c>
      <x:c r="J12" s="15"/>
      <x:c r="K12" s="12" t="n">
        <x:f t="shared" si="2">IF(OR($G12="",$H12="",$H12&lt;$G12),"",IF(AND(K$9&lt;=$H12,K$9+6&gt;=$G12),1,""))</x:f>
        <x:v>1</x:v>
      </x:c>
      <x:c r="L12" s="13" t="str">
        <x:f t="shared" si="2">IF(OR($G12="",$H12="",$H12&lt;$G12),"",IF(AND(L$9&lt;=$H12,L$9+6&gt;=$G12),1,""))</x:f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 ht="22" customHeight="1">
      <x:c r="B13" s="55" t="str">
        <x:v>Identidad</x:v>
      </x:c>
      <x:c r="C13" s="57" t="str">
        <x:v>Crear tabla y restricciones de identificadores</x:v>
      </x:c>
      <x:c r="D13" s="59" t="str">
        <x:v>Codex</x:v>
      </x:c>
      <x:c r="E13" s="8" t="str">
        <x:v>Completada</x:v>
      </x:c>
      <x:c r="F13" s="8" t="str">
        <x:v>P0</x:v>
      </x:c>
      <x:c r="G13" s="49" t="n">
        <x:v>46232</x:v>
      </x:c>
      <x:c r="H13" s="49" t="n">
        <x:v>46232</x:v>
      </x:c>
      <x:c r="I13" s="11" t="n">
        <x:f t="shared" si="1">IF(OR(G13="",H13="",H13&lt;G13),"",H13-G13+1)</x:f>
        <x:v>1</x:v>
      </x:c>
      <x:c r="J13" s="15"/>
      <x:c r="K13" s="12" t="n">
        <x:f t="shared" si="2">IF(OR($G13="",$H13="",$H13&lt;$G13),"",IF(AND(K$9&lt;=$H13,K$9+6&gt;=$G13),1,""))</x:f>
        <x:v>1</x:v>
      </x:c>
      <x:c r="L13" s="13" t="str">
        <x:f t="shared" si="2">IF(OR($G13="",$H13="",$H13&lt;$G13),"",IF(AND(L$9&lt;=$H13,L$9+6&gt;=$G13),1,""))</x:f>
      </x:c>
      <x:c r="M13" s="12" t="str">
        <x:f t="shared" si="2">IF(OR($G13="",$H13="",$H13&lt;$G13),"",IF(AND(M$9&lt;=$H13,M$9+6&gt;=$G13),1,""))</x:f>
      </x:c>
      <x:c r="N13" s="13" t="str">
        <x:f t="shared" si="2">IF(OR($G13="",$H13="",$H13&lt;$G13),"",IF(AND(N$9&lt;=$H13,N$9+6&gt;=$G13),1,""))</x:f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 ht="22" customHeight="1">
      <x:c r="B14" s="54" t="str">
        <x:v>Identidad</x:v>
      </x:c>
      <x:c r="C14" s="56" t="str">
        <x:v>Migrar RUN, IPE, ERP y códigos actuales</x:v>
      </x:c>
      <x:c r="D14" s="58" t="str">
        <x:v>Codex</x:v>
      </x:c>
      <x:c r="E14" s="7" t="str">
        <x:v>Completada</x:v>
      </x:c>
      <x:c r="F14" s="7" t="str">
        <x:v>P0</x:v>
      </x:c>
      <x:c r="G14" s="48" t="n">
        <x:v>46232</x:v>
      </x:c>
      <x:c r="H14" s="48" t="n">
        <x:v>46232</x:v>
      </x:c>
      <x:c r="I14" s="11" t="n">
        <x:f t="shared" si="1">IF(OR(G14="",H14="",H14&lt;G14),"",H14-G14+1)</x:f>
        <x:v>1</x:v>
      </x:c>
      <x:c r="J14" s="15"/>
      <x:c r="K14" s="12" t="n">
        <x:f t="shared" si="2">IF(OR($G14="",$H14="",$H14&lt;$G14),"",IF(AND(K$9&lt;=$H14,K$9+6&gt;=$G14),1,""))</x:f>
        <x:v>1</x:v>
      </x:c>
      <x:c r="L14" s="13" t="str">
        <x:f t="shared" si="2">IF(OR($G14="",$H14="",$H14&lt;$G14),"",IF(AND(L$9&lt;=$H14,L$9+6&gt;=$G14),1,""))</x:f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 ht="22" customHeight="1">
      <x:c r="B15" s="55" t="str">
        <x:v>Identidad</x:v>
      </x:c>
      <x:c r="C15" s="57" t="str">
        <x:v>Buscar y conciliar por cualquier identificador</x:v>
      </x:c>
      <x:c r="D15" s="59" t="str">
        <x:v>Codex</x:v>
      </x:c>
      <x:c r="E15" s="8" t="str">
        <x:v>Completada</x:v>
      </x:c>
      <x:c r="F15" s="8" t="str">
        <x:v>P0</x:v>
      </x:c>
      <x:c r="G15" s="49" t="n">
        <x:v>46232</x:v>
      </x:c>
      <x:c r="H15" s="49" t="n">
        <x:v>46232</x:v>
      </x:c>
      <x:c r="I15" s="11" t="n">
        <x:f t="shared" si="1">IF(OR(G15="",H15="",H15&lt;G15),"",H15-G15+1)</x:f>
        <x:v>1</x:v>
      </x:c>
      <x:c r="J15" s="15"/>
      <x:c r="K15" s="12" t="n">
        <x:f t="shared" si="2">IF(OR($G15="",$H15="",$H15&lt;$G15),"",IF(AND(K$9&lt;=$H15,K$9+6&gt;=$G15),1,""))</x:f>
        <x:v>1</x:v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 ht="22" customHeight="1">
      <x:c r="B16" s="54" t="str">
        <x:v>Regularización</x:v>
      </x:c>
      <x:c r="C16" s="56" t="str">
        <x:v>Implementar transición controlada IPE a RUN</x:v>
      </x:c>
      <x:c r="D16" s="58" t="str">
        <x:v>Codex</x:v>
      </x:c>
      <x:c r="E16" s="7" t="str">
        <x:v>Completada</x:v>
      </x:c>
      <x:c r="F16" s="7" t="str">
        <x:v>P0</x:v>
      </x:c>
      <x:c r="G16" s="48" t="n">
        <x:v>46232</x:v>
      </x:c>
      <x:c r="H16" s="48" t="n">
        <x:v>46233</x:v>
      </x:c>
      <x:c r="I16" s="11" t="n">
        <x:f t="shared" si="1">IF(OR(G16="",H16="",H16&lt;G16),"",H16-G16+1)</x:f>
        <x:v>2</x:v>
      </x:c>
      <x:c r="J16" s="15"/>
      <x:c r="K16" s="12" t="n">
        <x:f t="shared" si="2">IF(OR($G16="",$H16="",$H16&lt;$G16),"",IF(AND(K$9&lt;=$H16,K$9+6&gt;=$G16),1,""))</x:f>
        <x:v>1</x:v>
      </x:c>
      <x:c r="L16" s="13" t="str">
        <x:f t="shared" si="2">IF(OR($G16="",$H16="",$H16&lt;$G16),"",IF(AND(L$9&lt;=$H16,L$9+6&gt;=$G16),1,""))</x:f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 ht="22" customHeight="1">
      <x:c r="B17" s="55" t="str">
        <x:v>Regularización</x:v>
      </x:c>
      <x:c r="C17" s="57" t="str">
        <x:v>Crear interfaz, respaldo y auditoría IPE–RUN</x:v>
      </x:c>
      <x:c r="D17" s="59" t="str">
        <x:v>Codex</x:v>
      </x:c>
      <x:c r="E17" s="8" t="str">
        <x:v>Completada</x:v>
      </x:c>
      <x:c r="F17" s="8" t="str">
        <x:v>P0</x:v>
      </x:c>
      <x:c r="G17" s="49" t="n">
        <x:v>46232</x:v>
      </x:c>
      <x:c r="H17" s="49" t="n">
        <x:v>46233</x:v>
      </x:c>
      <x:c r="I17" s="11" t="n">
        <x:f t="shared" si="1">IF(OR(G17="",H17="",H17&lt;G17),"",H17-G17+1)</x:f>
        <x:v>2</x:v>
      </x:c>
      <x:c r="J17" s="15"/>
      <x:c r="K17" s="12" t="n">
        <x:f t="shared" si="2">IF(OR($G17="",$H17="",$H17&lt;$G17),"",IF(AND(K$9&lt;=$H17,K$9+6&gt;=$G17),1,""))</x:f>
        <x:v>1</x:v>
      </x:c>
      <x:c r="L17" s="13" t="str">
        <x:f t="shared" si="2">IF(OR($G17="",$H17="",$H17&lt;$G17),"",IF(AND(L$9&lt;=$H17,L$9+6&gt;=$G17),1,""))</x:f>
      </x:c>
      <x:c r="M17" s="12" t="str">
        <x:f t="shared" si="2">IF(OR($G17="",$H17="",$H17&lt;$G17),"",IF(AND(M$9&lt;=$H17,M$9+6&gt;=$G17),1,""))</x:f>
      </x:c>
      <x:c r="N17" s="13" t="str">
        <x:f t="shared" si="2">IF(OR($G17="",$H17="",$H17&lt;$G17),"",IF(AND(N$9&lt;=$H17,N$9+6&gt;=$G17),1,""))</x:f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 ht="22" customHeight="1">
      <x:c r="B18" s="54" t="str">
        <x:v>Ingreso manual</x:v>
      </x:c>
      <x:c r="C18" s="56" t="str">
        <x:v>Formulario dinámico RUN, IPE y extranjeros</x:v>
      </x:c>
      <x:c r="D18" s="58" t="str">
        <x:v>Codex</x:v>
      </x:c>
      <x:c r="E18" s="7" t="str">
        <x:v>Completada</x:v>
      </x:c>
      <x:c r="F18" s="7" t="str">
        <x:v>P0</x:v>
      </x:c>
      <x:c r="G18" s="48" t="n">
        <x:v>46233</x:v>
      </x:c>
      <x:c r="H18" s="48" t="n">
        <x:v>46233</x:v>
      </x:c>
      <x:c r="I18" s="11" t="n">
        <x:f t="shared" si="1">IF(OR(G18="",H18="",H18&lt;G18),"",H18-G18+1)</x:f>
        <x:v>1</x:v>
      </x:c>
      <x:c r="J18" s="15"/>
      <x:c r="K18" s="12" t="n">
        <x:f t="shared" si="2">IF(OR($G18="",$H18="",$H18&lt;$G18),"",IF(AND(K$9&lt;=$H18,K$9+6&gt;=$G18),1,""))</x:f>
        <x:v>1</x:v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 ht="22" customHeight="1">
      <x:c r="B19" s="55" t="str">
        <x:v>Ingreso manual</x:v>
      </x:c>
      <x:c r="C19" s="57" t="str">
        <x:v>Vincular ficha manual con ERP sin duplicar</x:v>
      </x:c>
      <x:c r="D19" s="59" t="str">
        <x:v>Codex</x:v>
      </x:c>
      <x:c r="E19" s="8" t="str">
        <x:v>Completada</x:v>
      </x:c>
      <x:c r="F19" s="8" t="str">
        <x:v>P0</x:v>
      </x:c>
      <x:c r="G19" s="49" t="n">
        <x:v>46233</x:v>
      </x:c>
      <x:c r="H19" s="49" t="n">
        <x:v>46233</x:v>
      </x:c>
      <x:c r="I19" s="11" t="n">
        <x:f t="shared" si="1">IF(OR(G19="",H19="",H19&lt;G19),"",H19-G19+1)</x:f>
        <x:v>1</x:v>
      </x:c>
      <x:c r="J19" s="15"/>
      <x:c r="K19" s="12" t="n">
        <x:f t="shared" si="2">IF(OR($G19="",$H19="",$H19&lt;$G19),"",IF(AND(K$9&lt;=$H19,K$9+6&gt;=$G19),1,""))</x:f>
        <x:v>1</x:v>
      </x:c>
      <x:c r="L19" s="13" t="str">
        <x:f t="shared" si="2">IF(OR($G19="",$H19="",$H19&lt;$G19),"",IF(AND(L$9&lt;=$H19,L$9+6&gt;=$G19),1,""))</x:f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 ht="22" customHeight="1">
      <x:c r="B20" s="54" t="str">
        <x:v>Revisión</x:v>
      </x:c>
      <x:c r="C20" s="56" t="str">
        <x:v>Bandeja de casos de identidad pendientes</x:v>
      </x:c>
      <x:c r="D20" s="58" t="str">
        <x:v>Codex</x:v>
      </x:c>
      <x:c r="E20" s="7" t="str">
        <x:v>Completada</x:v>
      </x:c>
      <x:c r="F20" s="7" t="str">
        <x:v>P1</x:v>
      </x:c>
      <x:c r="G20" s="48" t="n">
        <x:v>46233</x:v>
      </x:c>
      <x:c r="H20" s="48" t="n">
        <x:v>46233</x:v>
      </x:c>
      <x:c r="I20" s="11" t="n">
        <x:f t="shared" si="1">IF(OR(G20="",H20="",H20&lt;G20),"",H20-G20+1)</x:f>
        <x:v>1</x:v>
      </x:c>
      <x:c r="J20" s="15"/>
      <x:c r="K20" s="12" t="n">
        <x:f t="shared" ref="K20:T29" si="4">IF(OR($G20="",$H20="",$H20&lt;$G20),"",IF(AND(K$9&lt;=$H20,K$9+6&gt;=$G20),1,""))</x:f>
        <x:v>1</x:v>
      </x:c>
      <x:c r="L20" s="13" t="str">
        <x:f t="shared" si="4">IF(OR($G20="",$H20="",$H20&lt;$G20),"",IF(AND(L$9&lt;=$H20,L$9+6&gt;=$G20),1,""))</x:f>
      </x:c>
      <x:c r="M20" s="12" t="str">
        <x:f t="shared" si="4">IF(OR($G20="",$H20="",$H20&lt;$G20),"",IF(AND(M$9&lt;=$H20,M$9+6&gt;=$G20),1,""))</x:f>
      </x:c>
      <x:c r="N20" s="13" t="str">
        <x:f t="shared" si="4">IF(OR($G20="",$H20="",$H20&lt;$G20),"",IF(AND(N$9&lt;=$H20,N$9+6&gt;=$G20),1,""))</x:f>
      </x:c>
      <x:c r="O20" s="12" t="str">
        <x:f t="shared" si="4">IF(OR($G20="",$H20="",$H20&lt;$G20),"",IF(AND(O$9&lt;=$H20,O$9+6&gt;=$G20),1,""))</x:f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 ht="22" customHeight="1">
      <x:c r="B21" s="55" t="str">
        <x:v>Calidad</x:v>
      </x:c>
      <x:c r="C21" s="57" t="str">
        <x:v>Panel navegable de calidad del padrón</x:v>
      </x:c>
      <x:c r="D21" s="59" t="str">
        <x:v>Codex</x:v>
      </x:c>
      <x:c r="E21" s="8" t="str">
        <x:v>Completada</x:v>
      </x:c>
      <x:c r="F21" s="8" t="str">
        <x:v>P1</x:v>
      </x:c>
      <x:c r="G21" s="49" t="n">
        <x:v>46233</x:v>
      </x:c>
      <x:c r="H21" s="49" t="n">
        <x:v>46233</x:v>
      </x:c>
      <x:c r="I21" s="11" t="n">
        <x:f t="shared" si="1">IF(OR(G21="",H21="",H21&lt;G21),"",H21-G21+1)</x:f>
        <x:v>1</x:v>
      </x:c>
      <x:c r="J21" s="15"/>
      <x:c r="K21" s="12" t="n">
        <x:f t="shared" si="4">IF(OR($G21="",$H21="",$H21&lt;$G21),"",IF(AND(K$9&lt;=$H21,K$9+6&gt;=$G21),1,""))</x:f>
        <x:v>1</x:v>
      </x:c>
      <x:c r="L21" s="13" t="str">
        <x:f t="shared" si="4">IF(OR($G21="",$H21="",$H21&lt;$G21),"",IF(AND(L$9&lt;=$H21,L$9+6&gt;=$G21),1,""))</x:f>
      </x:c>
      <x:c r="M21" s="12" t="str">
        <x:f t="shared" si="4">IF(OR($G21="",$H21="",$H21&lt;$G21),"",IF(AND(M$9&lt;=$H21,M$9+6&gt;=$G21),1,""))</x:f>
      </x:c>
      <x:c r="N21" s="13" t="str">
        <x:f t="shared" si="4">IF(OR($G21="",$H21="",$H21&lt;$G21),"",IF(AND(N$9&lt;=$H21,N$9+6&gt;=$G21),1,""))</x:f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 ht="22" customHeight="1">
      <x:c r="B22" s="54" t="str">
        <x:v>Exportaciones</x:v>
      </x:c>
      <x:c r="C22" s="56" t="str">
        <x:v>Exportación operativa con documentos ocultos</x:v>
      </x:c>
      <x:c r="D22" s="58" t="str">
        <x:v>Codex</x:v>
      </x:c>
      <x:c r="E22" s="7" t="str">
        <x:v>Completada</x:v>
      </x:c>
      <x:c r="F22" s="7" t="str">
        <x:v>P1</x:v>
      </x:c>
      <x:c r="G22" s="48" t="n">
        <x:v>46235</x:v>
      </x:c>
      <x:c r="H22" s="48" t="n">
        <x:v>46235</x:v>
      </x:c>
      <x:c r="I22" s="11" t="n">
        <x:f t="shared" si="1">IF(OR(G22="",H22="",H22&lt;G22),"",H22-G22+1)</x:f>
        <x:v>1</x:v>
      </x:c>
      <x:c r="J22" s="15"/>
      <x:c r="K22" s="12" t="n">
        <x:f t="shared" si="4">IF(OR($G22="",$H22="",$H22&lt;$G22),"",IF(AND(K$9&lt;=$H22,K$9+6&gt;=$G22),1,""))</x:f>
        <x:v>1</x:v>
      </x:c>
      <x:c r="L22" s="13" t="str">
        <x:f t="shared" si="4">IF(OR($G22="",$H22="",$H22&lt;$G22),"",IF(AND(L$9&lt;=$H22,L$9+6&gt;=$G22),1,""))</x:f>
      </x:c>
      <x:c r="M22" s="12" t="str">
        <x:f t="shared" si="4">IF(OR($G22="",$H22="",$H22&lt;$G22),"",IF(AND(M$9&lt;=$H22,M$9+6&gt;=$G22),1,""))</x:f>
      </x:c>
      <x:c r="N22" s="13" t="str">
        <x:f t="shared" si="4">IF(OR($G22="",$H22="",$H22&lt;$G22),"",IF(AND(N$9&lt;=$H22,N$9+6&gt;=$G22),1,""))</x:f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 ht="22" customHeight="1">
      <x:c r="B23" s="55" t="str">
        <x:v>Exportaciones</x:v>
      </x:c>
      <x:c r="C23" s="57" t="str">
        <x:v>Exportación administrativa restringida</x:v>
      </x:c>
      <x:c r="D23" s="59" t="str">
        <x:v>Codex</x:v>
      </x:c>
      <x:c r="E23" s="8" t="str">
        <x:v>Completada</x:v>
      </x:c>
      <x:c r="F23" s="8" t="str">
        <x:v>P1</x:v>
      </x:c>
      <x:c r="G23" s="49" t="n">
        <x:v>46235</x:v>
      </x:c>
      <x:c r="H23" s="49" t="n">
        <x:v>46235</x:v>
      </x:c>
      <x:c r="I23" s="11" t="n">
        <x:f t="shared" si="1">IF(OR(G23="",H23="",H23&lt;G23),"",H23-G23+1)</x:f>
        <x:v>1</x:v>
      </x:c>
      <x:c r="J23" s="15"/>
      <x:c r="K23" s="12" t="n">
        <x:f t="shared" si="4">IF(OR($G23="",$H23="",$H23&lt;$G23),"",IF(AND(K$9&lt;=$H23,K$9+6&gt;=$G23),1,""))</x:f>
        <x:v>1</x:v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str">
        <x:f t="shared" si="4">IF(OR($G23="",$H23="",$H23&lt;$G23),"",IF(AND(N$9&lt;=$H23,N$9+6&gt;=$G23),1,""))</x:f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 ht="22" customHeight="1">
      <x:c r="B24" s="54" t="str">
        <x:v>Exportaciones</x:v>
      </x:c>
      <x:c r="C24" s="56" t="str">
        <x:v>Exportación de casos y calidad del padrón</x:v>
      </x:c>
      <x:c r="D24" s="58" t="str">
        <x:v>Codex</x:v>
      </x:c>
      <x:c r="E24" s="7" t="str">
        <x:v>Completada</x:v>
      </x:c>
      <x:c r="F24" s="7" t="str">
        <x:v>P1</x:v>
      </x:c>
      <x:c r="G24" s="48" t="n">
        <x:v>46235</x:v>
      </x:c>
      <x:c r="H24" s="48" t="n">
        <x:v>46235</x:v>
      </x:c>
      <x:c r="I24" s="11" t="n">
        <x:f t="shared" si="1">IF(OR(G24="",H24="",H24&lt;G24),"",H24-G24+1)</x:f>
        <x:v>1</x:v>
      </x:c>
      <x:c r="J24" s="15"/>
      <x:c r="K24" s="12" t="n">
        <x:f t="shared" si="4">IF(OR($G24="",$H24="",$H24&lt;$G24),"",IF(AND(K$9&lt;=$H24,K$9+6&gt;=$G24),1,""))</x:f>
        <x:v>1</x:v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str">
        <x:f t="shared" si="4">IF(OR($G24="",$H24="",$H24&lt;$G24),"",IF(AND(O$9&lt;=$H24,O$9+6&gt;=$G24),1,""))</x:f>
      </x:c>
      <x:c r="P24" s="13" t="str">
        <x:f t="shared" si="4">IF(OR($G24="",$H24="",$H24&lt;$G24),"",IF(AND(P$9&lt;=$H24,P$9+6&gt;=$G24),1,""))</x:f>
      </x:c>
      <x:c r="Q24" s="12" t="str">
        <x:f t="shared" si="4">IF(OR($G24="",$H24="",$H24&lt;$G24),"",IF(AND(Q$9&lt;=$H24,Q$9+6&gt;=$G24),1,""))</x:f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 ht="22" customHeight="1">
      <x:c r="B25" s="55" t="str">
        <x:v>Seguridad</x:v>
      </x:c>
      <x:c r="C25" s="57" t="str">
        <x:v>Enmascarar identificadores por defecto</x:v>
      </x:c>
      <x:c r="D25" s="59" t="str">
        <x:v>Codex</x:v>
      </x:c>
      <x:c r="E25" s="8" t="str">
        <x:v>Completada</x:v>
      </x:c>
      <x:c r="F25" s="8" t="str">
        <x:v>P0</x:v>
      </x:c>
      <x:c r="G25" s="49" t="n">
        <x:v>46235</x:v>
      </x:c>
      <x:c r="H25" s="49" t="n">
        <x:v>46235</x:v>
      </x:c>
      <x:c r="I25" s="11" t="n">
        <x:f t="shared" si="1">IF(OR(G25="",H25="",H25&lt;G25),"",H25-G25+1)</x:f>
        <x:v>1</x:v>
      </x:c>
      <x:c r="J25" s="15"/>
      <x:c r="K25" s="12" t="n">
        <x:f t="shared" si="4">IF(OR($G25="",$H25="",$H25&lt;$G25),"",IF(AND(K$9&lt;=$H25,K$9+6&gt;=$G25),1,""))</x:f>
        <x:v>1</x:v>
      </x:c>
      <x:c r="L25" s="13" t="str">
        <x:f t="shared" si="4">IF(OR($G25="",$H25="",$H25&lt;$G25),"",IF(AND(L$9&lt;=$H25,L$9+6&gt;=$G25),1,""))</x:f>
      </x:c>
      <x:c r="M25" s="12" t="str">
        <x:f t="shared" si="4">IF(OR($G25="",$H25="",$H25&lt;$G25),"",IF(AND(M$9&lt;=$H25,M$9+6&gt;=$G25),1,""))</x:f>
      </x:c>
      <x:c r="N25" s="13" t="str">
        <x:f t="shared" si="4">IF(OR($G25="",$H25="",$H25&lt;$G25),"",IF(AND(N$9&lt;=$H25,N$9+6&gt;=$G25),1,""))</x:f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 ht="22" customHeight="1">
      <x:c r="B26" s="54" t="str">
        <x:v>Seguridad</x:v>
      </x:c>
      <x:c r="C26" s="56" t="str">
        <x:v>Auditar revelación y exportación sensible</x:v>
      </x:c>
      <x:c r="D26" s="58" t="str">
        <x:v>Codex</x:v>
      </x:c>
      <x:c r="E26" s="7" t="str">
        <x:v>Completada</x:v>
      </x:c>
      <x:c r="F26" s="7" t="str">
        <x:v>P0</x:v>
      </x:c>
      <x:c r="G26" s="48" t="n">
        <x:v>46235</x:v>
      </x:c>
      <x:c r="H26" s="48" t="n">
        <x:v>46235</x:v>
      </x:c>
      <x:c r="I26" s="11" t="n">
        <x:f t="shared" si="1">IF(OR(G26="",H26="",H26&lt;G26),"",H26-G26+1)</x:f>
        <x:v>1</x:v>
      </x:c>
      <x:c r="J26" s="15"/>
      <x:c r="K26" s="12" t="n">
        <x:f t="shared" si="4">IF(OR($G26="",$H26="",$H26&lt;$G26),"",IF(AND(K$9&lt;=$H26,K$9+6&gt;=$G26),1,""))</x:f>
        <x:v>1</x:v>
      </x:c>
      <x:c r="L26" s="13" t="str">
        <x:f t="shared" si="4">IF(OR($G26="",$H26="",$H26&lt;$G26),"",IF(AND(L$9&lt;=$H26,L$9+6&gt;=$G26),1,""))</x:f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 ht="22" customHeight="1">
      <x:c r="B27" s="55" t="str">
        <x:v>Validadores</x:v>
      </x:c>
      <x:c r="C27" s="57" t="str">
        <x:v>Arquitectura extensible de validadores por país</x:v>
      </x:c>
      <x:c r="D27" s="59" t="str">
        <x:v>Codex</x:v>
      </x:c>
      <x:c r="E27" s="8" t="str">
        <x:v>No iniciada</x:v>
      </x:c>
      <x:c r="F27" s="8" t="str">
        <x:v>P1</x:v>
      </x:c>
      <x:c r="G27" s="49" t="n">
        <x:v>46283</x:v>
      </x:c>
      <x:c r="H27" s="49" t="n">
        <x:v>46295</x:v>
      </x:c>
      <x:c r="I27" s="11" t="n">
        <x:f t="shared" si="1">IF(OR(G27="",H27="",H27&lt;G27),"",H27-G27+1)</x:f>
        <x:v>13</x:v>
      </x:c>
      <x:c r="J27" s="15"/>
      <x:c r="K27" s="12" t="str">
        <x:f t="shared" si="4">IF(OR($G27="",$H27="",$H27&lt;$G27),"",IF(AND(K$9&lt;=$H27,K$9+6&gt;=$G27),1,""))</x:f>
      </x:c>
      <x:c r="L27" s="13" t="str">
        <x:f t="shared" si="4">IF(OR($G27="",$H27="",$H27&lt;$G27),"",IF(AND(L$9&lt;=$H27,L$9+6&gt;=$G27),1,""))</x:f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n">
        <x:f t="shared" si="4">IF(OR($G27="",$H27="",$H27&lt;$G27),"",IF(AND(R$9&lt;=$H27,R$9+6&gt;=$G27),1,""))</x:f>
        <x:v>1</x:v>
      </x:c>
      <x:c r="S27" s="12" t="n">
        <x:f t="shared" si="4">IF(OR($G27="",$H27="",$H27&lt;$G27),"",IF(AND(S$9&lt;=$H27,S$9+6&gt;=$G27),1,""))</x:f>
        <x:v>1</x:v>
      </x:c>
      <x:c r="T27" s="13" t="n">
        <x:f t="shared" si="4">IF(OR($G27="",$H27="",$H27&lt;$G27),"",IF(AND(T$9&lt;=$H27,T$9+6&gt;=$G27),1,""))</x:f>
        <x:v>1</x:v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 ht="22" customHeight="1">
      <x:c r="B28" s="54" t="str">
        <x:v>Validadores</x:v>
      </x:c>
      <x:c r="C28" s="56" t="str">
        <x:v>RUN, IPE, documentos y validación estructural</x:v>
      </x:c>
      <x:c r="D28" s="58" t="str">
        <x:v>Codex</x:v>
      </x:c>
      <x:c r="E28" s="7" t="str">
        <x:v>Completada</x:v>
      </x:c>
      <x:c r="F28" s="7" t="str">
        <x:v>P1</x:v>
      </x:c>
      <x:c r="G28" s="48" t="n">
        <x:v>46233</x:v>
      </x:c>
      <x:c r="H28" s="48" t="n">
        <x:v>46233</x:v>
      </x:c>
      <x:c r="I28" s="11" t="n">
        <x:f t="shared" si="1">IF(OR(G28="",H28="",H28&lt;G28),"",H28-G28+1)</x:f>
        <x:v>1</x:v>
      </x:c>
      <x:c r="J28" s="15"/>
      <x:c r="K28" s="12" t="n">
        <x:f t="shared" si="4">IF(OR($G28="",$H28="",$H28&lt;$G28),"",IF(AND(K$9&lt;=$H28,K$9+6&gt;=$G28),1,""))</x:f>
        <x:v>1</x:v>
      </x:c>
      <x:c r="L28" s="13" t="str">
        <x:f t="shared" si="4">IF(OR($G28="",$H28="",$H28&lt;$G28),"",IF(AND(L$9&lt;=$H28,L$9+6&gt;=$G28),1,""))</x:f>
      </x:c>
      <x:c r="M28" s="12" t="str">
        <x:f t="shared" si="4">IF(OR($G28="",$H28="",$H28&lt;$G28),"",IF(AND(M$9&lt;=$H28,M$9+6&gt;=$G28),1,""))</x:f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 ht="22" customHeight="1">
      <x:c r="B29" s="55" t="str">
        <x:v>Escáner móvil</x:v>
      </x:c>
      <x:c r="C29" s="57" t="str">
        <x:v>Integrar cámara trasera al terminal existente</x:v>
      </x:c>
      <x:c r="D29" s="59" t="str">
        <x:v>Codex</x:v>
      </x:c>
      <x:c r="E29" s="8" t="str">
        <x:v>No iniciada</x:v>
      </x:c>
      <x:c r="F29" s="8" t="str">
        <x:v>P0</x:v>
      </x:c>
      <x:c r="G29" s="49" t="n">
        <x:v>46293</x:v>
      </x:c>
      <x:c r="H29" s="49" t="n">
        <x:v>46304</x:v>
      </x:c>
      <x:c r="I29" s="11" t="n">
        <x:f t="shared" si="1">IF(OR(G29="",H29="",H29&lt;G29),"",H29-G29+1)</x:f>
        <x:v>12</x:v>
      </x:c>
      <x:c r="J29" s="15"/>
      <x:c r="K29" s="12" t="str">
        <x:f t="shared" si="4">IF(OR($G29="",$H29="",$H29&lt;$G29),"",IF(AND(K$9&lt;=$H29,K$9+6&gt;=$G29),1,""))</x:f>
      </x:c>
      <x:c r="L29" s="13" t="str">
        <x:f t="shared" si="4">IF(OR($G29="",$H29="",$H29&lt;$G29),"",IF(AND(L$9&lt;=$H29,L$9+6&gt;=$G29),1,""))</x:f>
      </x:c>
      <x:c r="M29" s="12" t="str">
        <x:f t="shared" si="4">IF(OR($G29="",$H29="",$H29&lt;$G29),"",IF(AND(M$9&lt;=$H29,M$9+6&gt;=$G29),1,""))</x:f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n">
        <x:f t="shared" si="4">IF(OR($G29="",$H29="",$H29&lt;$G29),"",IF(AND(S$9&lt;=$H29,S$9+6&gt;=$G29),1,""))</x:f>
        <x:v>1</x:v>
      </x:c>
      <x:c r="T29" s="13" t="n">
        <x:f t="shared" si="4">IF(OR($G29="",$H29="",$H29&lt;$G29),"",IF(AND(T$9&lt;=$H29,T$9+6&gt;=$G29),1,""))</x:f>
        <x:v>1</x:v>
      </x:c>
      <x:c r="U29" s="12" t="n">
        <x:f t="shared" si="5">IF(OR($G29="",$H29="",$H29&lt;$G29),"",IF(AND(U$9&lt;=$H29,U$9+6&gt;=$G29),1,""))</x:f>
        <x:v>1</x:v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 ht="22" customHeight="1">
      <x:c r="B30" s="54" t="str">
        <x:v>Escáner móvil</x:v>
      </x:c>
      <x:c r="C30" s="56" t="str">
        <x:v>Antiduplicado, vibración, sonido y fallback</x:v>
      </x:c>
      <x:c r="D30" s="58" t="str">
        <x:v>Codex</x:v>
      </x:c>
      <x:c r="E30" s="7" t="str">
        <x:v>No iniciada</x:v>
      </x:c>
      <x:c r="F30" s="7" t="str">
        <x:v>P0</x:v>
      </x:c>
      <x:c r="G30" s="48" t="n">
        <x:v>46300</x:v>
      </x:c>
      <x:c r="H30" s="48" t="n">
        <x:v>46308</x:v>
      </x:c>
      <x:c r="I30" s="11" t="n">
        <x:f t="shared" si="1">IF(OR(G30="",H30="",H30&lt;G30),"",H30-G30+1)</x:f>
        <x:v>9</x:v>
      </x:c>
      <x:c r="J30" s="15"/>
      <x:c r="K30" s="12" t="str">
        <x:f t="shared" ref="K30:T39" si="6">IF(OR($G30="",$H30="",$H30&lt;$G30),"",IF(AND(K$9&lt;=$H30,K$9+6&gt;=$G30),1,""))</x:f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n">
        <x:f t="shared" si="6">IF(OR($G30="",$H30="",$H30&lt;$G30),"",IF(AND(T$9&lt;=$H30,T$9+6&gt;=$G30),1,""))</x:f>
        <x:v>1</x:v>
      </x:c>
      <x:c r="U30" s="12" t="n">
        <x:f t="shared" ref="U30:AD39" si="7">IF(OR($G30="",$H30="",$H30&lt;$G30),"",IF(AND(U$9&lt;=$H30,U$9+6&gt;=$G30),1,""))</x:f>
        <x:v>1</x:v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 ht="22" customHeight="1">
      <x:c r="B31" s="55" t="str">
        <x:v>HTTPS interno</x:v>
      </x:c>
      <x:c r="C31" s="57" t="str">
        <x:v>Preparar incorporación segura de dispositivos</x:v>
      </x:c>
      <x:c r="D31" s="59" t="str">
        <x:v>Codex + Lucas</x:v>
      </x:c>
      <x:c r="E31" s="8" t="str">
        <x:v>No iniciada</x:v>
      </x:c>
      <x:c r="F31" s="8" t="str">
        <x:v>P0</x:v>
      </x:c>
      <x:c r="G31" s="50" t="n">
        <x:v>46302</x:v>
      </x:c>
      <x:c r="H31" s="50" t="n">
        <x:v>46311</x:v>
      </x:c>
      <x:c r="I31" s="11" t="n">
        <x:f t="shared" si="1">IF(OR(G31="",H31="",H31&lt;G31),"",H31-G31+1)</x:f>
        <x:v>10</x:v>
      </x:c>
      <x:c r="J31" s="15"/>
      <x:c r="K31" s="12" t="str">
        <x:f t="shared" si="6">IF(OR($G31="",$H31="",$H31&lt;$G31),"",IF(AND(K$9&lt;=$H31,K$9+6&gt;=$G31),1,""))</x:f>
      </x:c>
      <x:c r="L31" s="13" t="str">
        <x:f t="shared" si="6">IF(OR($G31="",$H31="",$H31&lt;$G31),"",IF(AND(L$9&lt;=$H31,L$9+6&gt;=$G31),1,""))</x:f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n">
        <x:f t="shared" si="7">IF(OR($G31="",$H31="",$H31&lt;$G31),"",IF(AND(U$9&lt;=$H31,U$9+6&gt;=$G31),1,""))</x:f>
        <x:v>1</x:v>
      </x:c>
      <x:c r="V31" s="13" t="n">
        <x:f t="shared" si="7">IF(OR($G31="",$H31="",$H31&lt;$G31),"",IF(AND(V$9&lt;=$H31,V$9+6&gt;=$G31),1,""))</x:f>
        <x:v>1</x:v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 ht="22" customHeight="1">
      <x:c r="B32" s="54" t="str">
        <x:v>HTTPS interno</x:v>
      </x:c>
      <x:c r="C32" s="56" t="str">
        <x:v>Probar cámara en Android y escritorios</x:v>
      </x:c>
      <x:c r="D32" s="58" t="str">
        <x:v>Lucas</x:v>
      </x:c>
      <x:c r="E32" s="7" t="str">
        <x:v>No iniciada</x:v>
      </x:c>
      <x:c r="F32" s="7" t="str">
        <x:v>P0</x:v>
      </x:c>
      <x:c r="G32" s="51" t="n">
        <x:v>46307</x:v>
      </x:c>
      <x:c r="H32" s="51" t="n">
        <x:v>46317</x:v>
      </x:c>
      <x:c r="I32" s="11" t="n">
        <x:f t="shared" si="1">IF(OR(G32="",H32="",H32&lt;G32),"",H32-G32+1)</x:f>
        <x:v>11</x:v>
      </x:c>
      <x:c r="J32" s="15"/>
      <x:c r="K32" s="12" t="str">
        <x:f t="shared" si="6">IF(OR($G32="",$H32="",$H32&lt;$G32),"",IF(AND(K$9&lt;=$H32,K$9+6&gt;=$G32),1,""))</x:f>
      </x:c>
      <x:c r="L32" s="13" t="str">
        <x:f t="shared" si="6">IF(OR($G32="",$H32="",$H32&lt;$G32),"",IF(AND(L$9&lt;=$H32,L$9+6&gt;=$G32),1,""))</x:f>
      </x:c>
      <x:c r="M32" s="12" t="str">
        <x:f t="shared" si="6">IF(OR($G32="",$H32="",$H32&lt;$G32),"",IF(AND(M$9&lt;=$H32,M$9+6&gt;=$G32),1,""))</x:f>
      </x:c>
      <x:c r="N32" s="13" t="str">
        <x:f t="shared" si="6">IF(OR($G32="",$H32="",$H32&lt;$G32),"",IF(AND(N$9&lt;=$H32,N$9+6&gt;=$G32),1,""))</x:f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n">
        <x:f t="shared" si="7">IF(OR($G32="",$H32="",$H32&lt;$G32),"",IF(AND(U$9&lt;=$H32,U$9+6&gt;=$G32),1,""))</x:f>
        <x:v>1</x:v>
      </x:c>
      <x:c r="V32" s="13" t="n">
        <x:f t="shared" si="7">IF(OR($G32="",$H32="",$H32&lt;$G32),"",IF(AND(V$9&lt;=$H32,V$9+6&gt;=$G32),1,""))</x:f>
        <x:v>1</x:v>
      </x:c>
      <x:c r="W32" s="12" t="n">
        <x:f t="shared" si="7">IF(OR($G32="",$H32="",$H32&lt;$G32),"",IF(AND(W$9&lt;=$H32,W$9+6&gt;=$G32),1,""))</x:f>
        <x:v>1</x:v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 ht="22" customHeight="1">
      <x:c r="B33" s="55" t="str">
        <x:v>MRZ</x:v>
      </x:c>
      <x:c r="C33" s="57" t="str">
        <x:v>Prototipo de lectura MRZ sin guardar imágenes</x:v>
      </x:c>
      <x:c r="D33" s="59" t="str">
        <x:v>Codex</x:v>
      </x:c>
      <x:c r="E33" s="8" t="str">
        <x:v>No iniciada</x:v>
      </x:c>
      <x:c r="F33" s="8" t="str">
        <x:v>P2</x:v>
      </x:c>
      <x:c r="G33" s="50" t="n">
        <x:v>46314</x:v>
      </x:c>
      <x:c r="H33" s="50" t="n">
        <x:v>46325</x:v>
      </x:c>
      <x:c r="I33" s="11" t="n">
        <x:f t="shared" si="1">IF(OR(G33="",H33="",H33&lt;G33),"",H33-G33+1)</x:f>
        <x:v>12</x:v>
      </x:c>
      <x:c r="J33" s="15"/>
      <x:c r="K33" s="12" t="str">
        <x:f t="shared" si="6">IF(OR($G33="",$H33="",$H33&lt;$G33),"",IF(AND(K$9&lt;=$H33,K$9+6&gt;=$G33),1,""))</x:f>
      </x:c>
      <x:c r="L33" s="13" t="str">
        <x:f t="shared" si="6">IF(OR($G33="",$H33="",$H33&lt;$G33),"",IF(AND(L$9&lt;=$H33,L$9+6&gt;=$G33),1,""))</x:f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str">
        <x:f t="shared" si="6">IF(OR($G33="",$H33="",$H33&lt;$G33),"",IF(AND(O$9&lt;=$H33,O$9+6&gt;=$G33),1,""))</x:f>
      </x:c>
      <x:c r="P33" s="13" t="str">
        <x:f t="shared" si="6">IF(OR($G33="",$H33="",$H33&lt;$G33),"",IF(AND(P$9&lt;=$H33,P$9+6&gt;=$G33),1,""))</x:f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n">
        <x:f t="shared" si="7">IF(OR($G33="",$H33="",$H33&lt;$G33),"",IF(AND(V$9&lt;=$H33,V$9+6&gt;=$G33),1,""))</x:f>
        <x:v>1</x:v>
      </x:c>
      <x:c r="W33" s="12" t="n">
        <x:f t="shared" si="7">IF(OR($G33="",$H33="",$H33&lt;$G33),"",IF(AND(W$9&lt;=$H33,W$9+6&gt;=$G33),1,""))</x:f>
        <x:v>1</x:v>
      </x:c>
      <x:c r="X33" s="13" t="n">
        <x:f t="shared" si="7">IF(OR($G33="",$H33="",$H33&lt;$G33),"",IF(AND(X$9&lt;=$H33,X$9+6&gt;=$G33),1,""))</x:f>
        <x:v>1</x:v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 ht="22" customHeight="1">
      <x:c r="B34" s="54" t="str">
        <x:v>MRZ</x:v>
      </x:c>
      <x:c r="C34" s="56" t="str">
        <x:v>Flujo restringido y revisión física del pasaporte</x:v>
      </x:c>
      <x:c r="D34" s="58" t="str">
        <x:v>Codex</x:v>
      </x:c>
      <x:c r="E34" s="7" t="str">
        <x:v>No iniciada</x:v>
      </x:c>
      <x:c r="F34" s="7" t="str">
        <x:v>P2</x:v>
      </x:c>
      <x:c r="G34" s="51" t="n">
        <x:v>46321</x:v>
      </x:c>
      <x:c r="H34" s="51" t="n">
        <x:v>46332</x:v>
      </x:c>
      <x:c r="I34" s="11" t="n">
        <x:f t="shared" si="1">IF(OR(G34="",H34="",H34&lt;G34),"",H34-G34+1)</x:f>
        <x:v>12</x:v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str">
        <x:f t="shared" si="6">IF(OR($G34="",$H34="",$H34&lt;$G34),"",IF(AND(M$9&lt;=$H34,M$9+6&gt;=$G34),1,""))</x:f>
      </x:c>
      <x:c r="N34" s="13" t="str">
        <x:f t="shared" si="6">IF(OR($G34="",$H34="",$H34&lt;$G34),"",IF(AND(N$9&lt;=$H34,N$9+6&gt;=$G34),1,""))</x:f>
      </x:c>
      <x:c r="O34" s="12" t="str">
        <x:f t="shared" si="6">IF(OR($G34="",$H34="",$H34&lt;$G34),"",IF(AND(O$9&lt;=$H34,O$9+6&gt;=$G34),1,""))</x:f>
      </x:c>
      <x:c r="P34" s="13" t="str">
        <x:f t="shared" si="6">IF(OR($G34="",$H34="",$H34&lt;$G34),"",IF(AND(P$9&lt;=$H34,P$9+6&gt;=$G34),1,""))</x:f>
      </x:c>
      <x:c r="Q34" s="12" t="str">
        <x:f t="shared" si="6">IF(OR($G34="",$H34="",$H34&lt;$G34),"",IF(AND(Q$9&lt;=$H34,Q$9+6&gt;=$G34),1,""))</x:f>
      </x:c>
      <x:c r="R34" s="13" t="str">
        <x:f t="shared" si="6">IF(OR($G34="",$H34="",$H34&lt;$G34),"",IF(AND(R$9&lt;=$H34,R$9+6&gt;=$G34),1,""))</x:f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n">
        <x:f t="shared" si="7">IF(OR($G34="",$H34="",$H34&lt;$G34),"",IF(AND(W$9&lt;=$H34,W$9+6&gt;=$G34),1,""))</x:f>
        <x:v>1</x:v>
      </x:c>
      <x:c r="X34" s="13" t="n">
        <x:f t="shared" si="7">IF(OR($G34="",$H34="",$H34&lt;$G34),"",IF(AND(X$9&lt;=$H34,X$9+6&gt;=$G34),1,""))</x:f>
        <x:v>1</x:v>
      </x:c>
      <x:c r="Y34" s="12" t="n">
        <x:f t="shared" si="7">IF(OR($G34="",$H34="",$H34&lt;$G34),"",IF(AND(Y$9&lt;=$H34,Y$9+6&gt;=$G34),1,""))</x:f>
        <x:v>1</x:v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 ht="22" customHeight="1">
      <x:c r="B35" s="55" t="str">
        <x:v>Permisos</x:v>
      </x:c>
      <x:c r="C35" s="57" t="str">
        <x:v>Permisos granulares de identidad y cámara</x:v>
      </x:c>
      <x:c r="D35" s="59" t="str">
        <x:v>Codex</x:v>
      </x:c>
      <x:c r="E35" s="8" t="str">
        <x:v>No iniciada</x:v>
      </x:c>
      <x:c r="F35" s="8" t="str">
        <x:v>P0</x:v>
      </x:c>
      <x:c r="G35" s="50" t="n">
        <x:v>46328</x:v>
      </x:c>
      <x:c r="H35" s="50" t="n">
        <x:v>46336</x:v>
      </x:c>
      <x:c r="I35" s="11" t="n">
        <x:f t="shared" si="1">IF(OR(G35="",H35="",H35&lt;G35),"",H35-G35+1)</x:f>
        <x:v>9</x:v>
      </x:c>
      <x:c r="J35" s="15"/>
      <x:c r="K35" s="12" t="str">
        <x:f t="shared" si="6">IF(OR($G35="",$H35="",$H35&lt;$G35),"",IF(AND(K$9&lt;=$H35,K$9+6&gt;=$G35),1,""))</x:f>
      </x:c>
      <x:c r="L35" s="13" t="str">
        <x:f t="shared" si="6">IF(OR($G35="",$H35="",$H35&lt;$G35),"",IF(AND(L$9&lt;=$H35,L$9+6&gt;=$G35),1,""))</x:f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str">
        <x:f t="shared" si="6">IF(OR($G35="",$H35="",$H35&lt;$G35),"",IF(AND(O$9&lt;=$H35,O$9+6&gt;=$G35),1,""))</x:f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n">
        <x:f t="shared" si="7">IF(OR($G35="",$H35="",$H35&lt;$G35),"",IF(AND(X$9&lt;=$H35,X$9+6&gt;=$G35),1,""))</x:f>
        <x:v>1</x:v>
      </x:c>
      <x:c r="Y35" s="12" t="n">
        <x:f t="shared" si="7">IF(OR($G35="",$H35="",$H35&lt;$G35),"",IF(AND(Y$9&lt;=$H35,Y$9+6&gt;=$G35),1,""))</x:f>
        <x:v>1</x:v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 ht="22" customHeight="1">
      <x:c r="B36" s="54" t="str">
        <x:v>QA</x:v>
      </x:c>
      <x:c r="C36" s="56" t="str">
        <x:v>E2E de identidad, manuales e importación ERP</x:v>
      </x:c>
      <x:c r="D36" s="58" t="str">
        <x:v>Codex</x:v>
      </x:c>
      <x:c r="E36" s="7" t="str">
        <x:v>No iniciada</x:v>
      </x:c>
      <x:c r="F36" s="7" t="str">
        <x:v>P0</x:v>
      </x:c>
      <x:c r="G36" s="51" t="n">
        <x:v>46331</x:v>
      </x:c>
      <x:c r="H36" s="51" t="n">
        <x:v>46344</x:v>
      </x:c>
      <x:c r="I36" s="11" t="n">
        <x:f t="shared" si="1">IF(OR(G36="",H36="",H36&lt;G36),"",H36-G36+1)</x:f>
        <x:v>14</x:v>
      </x:c>
      <x:c r="J36" s="15"/>
      <x:c r="K36" s="12" t="str">
        <x:f t="shared" si="6">IF(OR($G36="",$H36="",$H36&lt;$G36),"",IF(AND(K$9&lt;=$H36,K$9+6&gt;=$G36),1,""))</x:f>
      </x:c>
      <x:c r="L36" s="13" t="str">
        <x:f t="shared" si="6">IF(OR($G36="",$H36="",$H36&lt;$G36),"",IF(AND(L$9&lt;=$H36,L$9+6&gt;=$G36),1,""))</x:f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str">
        <x:f t="shared" si="6">IF(OR($G36="",$H36="",$H36&lt;$G36),"",IF(AND(P$9&lt;=$H36,P$9+6&gt;=$G36),1,""))</x:f>
      </x:c>
      <x:c r="Q36" s="12" t="str">
        <x:f t="shared" si="6">IF(OR($G36="",$H36="",$H36&lt;$G36),"",IF(AND(Q$9&lt;=$H36,Q$9+6&gt;=$G36),1,""))</x:f>
      </x:c>
      <x:c r="R36" s="13" t="str">
        <x:f t="shared" si="6">IF(OR($G36="",$H36="",$H36&lt;$G36),"",IF(AND(R$9&lt;=$H36,R$9+6&gt;=$G36),1,""))</x:f>
      </x:c>
      <x:c r="S36" s="12" t="str">
        <x:f t="shared" si="6">IF(OR($G36="",$H36="",$H36&lt;$G36),"",IF(AND(S$9&lt;=$H36,S$9+6&gt;=$G36),1,""))</x:f>
      </x:c>
      <x:c r="T36" s="13" t="str">
        <x:f t="shared" si="6">IF(OR($G36="",$H36="",$H36&lt;$G36),"",IF(AND(T$9&lt;=$H36,T$9+6&gt;=$G36),1,""))</x:f>
      </x:c>
      <x:c r="U36" s="12" t="str">
        <x:f t="shared" si="7">IF(OR($G36="",$H36="",$H36&lt;$G36),"",IF(AND(U$9&lt;=$H36,U$9+6&gt;=$G36),1,""))</x:f>
      </x:c>
      <x:c r="V36" s="13" t="str">
        <x:f t="shared" si="7">IF(OR($G36="",$H36="",$H36&lt;$G36),"",IF(AND(V$9&lt;=$H36,V$9+6&gt;=$G36),1,""))</x:f>
      </x:c>
      <x:c r="W36" s="12" t="str">
        <x:f t="shared" si="7">IF(OR($G36="",$H36="",$H36&lt;$G36),"",IF(AND(W$9&lt;=$H36,W$9+6&gt;=$G36),1,""))</x:f>
      </x:c>
      <x:c r="X36" s="13" t="str">
        <x:f t="shared" si="7">IF(OR($G36="",$H36="",$H36&lt;$G36),"",IF(AND(X$9&lt;=$H36,X$9+6&gt;=$G36),1,""))</x:f>
      </x:c>
      <x:c r="Y36" s="12" t="n">
        <x:f t="shared" si="7">IF(OR($G36="",$H36="",$H36&lt;$G36),"",IF(AND(Y$9&lt;=$H36,Y$9+6&gt;=$G36),1,""))</x:f>
        <x:v>1</x:v>
      </x:c>
      <x:c r="Z36" s="13" t="n">
        <x:f t="shared" si="7">IF(OR($G36="",$H36="",$H36&lt;$G36),"",IF(AND(Z$9&lt;=$H36,Z$9+6&gt;=$G36),1,""))</x:f>
        <x:v>1</x:v>
      </x:c>
      <x:c r="AA36" s="12" t="n">
        <x:f t="shared" si="7">IF(OR($G36="",$H36="",$H36&lt;$G36),"",IF(AND(AA$9&lt;=$H36,AA$9+6&gt;=$G36),1,""))</x:f>
        <x:v>1</x:v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 ht="22" customHeight="1">
      <x:c r="B37" s="55" t="str">
        <x:v>QA</x:v>
      </x:c>
      <x:c r="C37" s="57" t="str">
        <x:v>E2E móvil, permisos y datos sensibles</x:v>
      </x:c>
      <x:c r="D37" s="59" t="str">
        <x:v>Codex + Lucas</x:v>
      </x:c>
      <x:c r="E37" s="8" t="str">
        <x:v>No iniciada</x:v>
      </x:c>
      <x:c r="F37" s="8" t="str">
        <x:v>P0</x:v>
      </x:c>
      <x:c r="G37" s="50" t="n">
        <x:v>46338</x:v>
      </x:c>
      <x:c r="H37" s="50" t="n">
        <x:v>46351</x:v>
      </x:c>
      <x:c r="I37" s="11" t="n">
        <x:f t="shared" si="1">IF(OR(G37="",H37="",H37&lt;G37),"",H37-G37+1)</x:f>
        <x:v>14</x:v>
      </x:c>
      <x:c r="J37" s="15"/>
      <x:c r="K37" s="12" t="str">
        <x:f t="shared" si="6">IF(OR($G37="",$H37="",$H37&lt;$G37),"",IF(AND(K$9&lt;=$H37,K$9+6&gt;=$G37),1,""))</x:f>
      </x:c>
      <x:c r="L37" s="13" t="str">
        <x:f t="shared" si="6">IF(OR($G37="",$H37="",$H37&lt;$G37),"",IF(AND(L$9&lt;=$H37,L$9+6&gt;=$G37),1,""))</x:f>
      </x:c>
      <x:c r="M37" s="12" t="str">
        <x:f t="shared" si="6">IF(OR($G37="",$H37="",$H37&lt;$G37),"",IF(AND(M$9&lt;=$H37,M$9+6&gt;=$G37),1,""))</x:f>
      </x:c>
      <x:c r="N37" s="13" t="str">
        <x:f t="shared" si="6">IF(OR($G37="",$H37="",$H37&lt;$G37),"",IF(AND(N$9&lt;=$H37,N$9+6&gt;=$G37),1,""))</x:f>
      </x:c>
      <x:c r="O37" s="12" t="str">
        <x:f t="shared" si="6">IF(OR($G37="",$H37="",$H37&lt;$G37),"",IF(AND(O$9&lt;=$H37,O$9+6&gt;=$G37),1,""))</x:f>
      </x:c>
      <x:c r="P37" s="13" t="str">
        <x:f t="shared" si="6">IF(OR($G37="",$H37="",$H37&lt;$G37),"",IF(AND(P$9&lt;=$H37,P$9+6&gt;=$G37),1,""))</x:f>
      </x:c>
      <x:c r="Q37" s="12" t="str">
        <x:f t="shared" si="6">IF(OR($G37="",$H37="",$H37&lt;$G37),"",IF(AND(Q$9&lt;=$H37,Q$9+6&gt;=$G37),1,""))</x:f>
      </x:c>
      <x:c r="R37" s="13" t="str">
        <x:f t="shared" si="6">IF(OR($G37="",$H37="",$H37&lt;$G37),"",IF(AND(R$9&lt;=$H37,R$9+6&gt;=$G37),1,""))</x:f>
      </x:c>
      <x:c r="S37" s="12" t="str">
        <x:f t="shared" si="6">IF(OR($G37="",$H37="",$H37&lt;$G37),"",IF(AND(S$9&lt;=$H37,S$9+6&gt;=$G37),1,""))</x:f>
      </x:c>
      <x:c r="T37" s="13" t="str">
        <x:f t="shared" si="6">IF(OR($G37="",$H37="",$H37&lt;$G37),"",IF(AND(T$9&lt;=$H37,T$9+6&gt;=$G37),1,""))</x:f>
      </x:c>
      <x:c r="U37" s="12" t="str">
        <x:f t="shared" si="7">IF(OR($G37="",$H37="",$H37&lt;$G37),"",IF(AND(U$9&lt;=$H37,U$9+6&gt;=$G37),1,""))</x:f>
      </x:c>
      <x:c r="V37" s="13" t="str">
        <x:f t="shared" si="7">IF(OR($G37="",$H37="",$H37&lt;$G37),"",IF(AND(V$9&lt;=$H37,V$9+6&gt;=$G37),1,""))</x:f>
      </x:c>
      <x:c r="W37" s="12" t="str">
        <x:f t="shared" si="7">IF(OR($G37="",$H37="",$H37&lt;$G37),"",IF(AND(W$9&lt;=$H37,W$9+6&gt;=$G37),1,""))</x:f>
      </x:c>
      <x:c r="X37" s="13" t="str">
        <x:f t="shared" si="7">IF(OR($G37="",$H37="",$H37&lt;$G37),"",IF(AND(X$9&lt;=$H37,X$9+6&gt;=$G37),1,""))</x:f>
      </x:c>
      <x:c r="Y37" s="12" t="str">
        <x:f t="shared" si="7">IF(OR($G37="",$H37="",$H37&lt;$G37),"",IF(AND(Y$9&lt;=$H37,Y$9+6&gt;=$G37),1,""))</x:f>
      </x:c>
      <x:c r="Z37" s="13" t="n">
        <x:f t="shared" si="7">IF(OR($G37="",$H37="",$H37&lt;$G37),"",IF(AND(Z$9&lt;=$H37,Z$9+6&gt;=$G37),1,""))</x:f>
        <x:v>1</x:v>
      </x:c>
      <x:c r="AA37" s="12" t="n">
        <x:f t="shared" si="7">IF(OR($G37="",$H37="",$H37&lt;$G37),"",IF(AND(AA$9&lt;=$H37,AA$9+6&gt;=$G37),1,""))</x:f>
        <x:v>1</x:v>
      </x:c>
      <x:c r="AB37" s="13" t="n">
        <x:f t="shared" si="7">IF(OR($G37="",$H37="",$H37&lt;$G37),"",IF(AND(AB$9&lt;=$H37,AB$9+6&gt;=$G37),1,""))</x:f>
        <x:v>1</x:v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 ht="22" customHeight="1">
      <x:c r="B38" s="54" t="str">
        <x:v>QA</x:v>
      </x:c>
      <x:c r="C38" s="56" t="str">
        <x:v>Recuperación, rendimiento y accesibilidad</x:v>
      </x:c>
      <x:c r="D38" s="58" t="str">
        <x:v>Codex</x:v>
      </x:c>
      <x:c r="E38" s="7" t="str">
        <x:v>No iniciada</x:v>
      </x:c>
      <x:c r="F38" s="7" t="str">
        <x:v>P1</x:v>
      </x:c>
      <x:c r="G38" s="51" t="n">
        <x:v>46346</x:v>
      </x:c>
      <x:c r="H38" s="51" t="n">
        <x:v>46360</x:v>
      </x:c>
      <x:c r="I38" s="11" t="n">
        <x:f t="shared" si="1">IF(OR(G38="",H38="",H38&lt;G38),"",H38-G38+1)</x:f>
        <x:v>15</x:v>
      </x:c>
      <x:c r="J38" s="15"/>
      <x:c r="K38" s="12" t="str">
        <x:f t="shared" si="6">IF(OR($G38="",$H38="",$H38&lt;$G38),"",IF(AND(K$9&lt;=$H38,K$9+6&gt;=$G38),1,""))</x:f>
      </x:c>
      <x:c r="L38" s="13" t="str">
        <x:f t="shared" si="6">IF(OR($G38="",$H38="",$H38&lt;$G38),"",IF(AND(L$9&lt;=$H38,L$9+6&gt;=$G38),1,""))</x:f>
      </x:c>
      <x:c r="M38" s="12" t="str">
        <x:f t="shared" si="6">IF(OR($G38="",$H38="",$H38&lt;$G38),"",IF(AND(M$9&lt;=$H38,M$9+6&gt;=$G38),1,""))</x:f>
      </x:c>
      <x:c r="N38" s="13" t="str">
        <x:f t="shared" si="6">IF(OR($G38="",$H38="",$H38&lt;$G38),"",IF(AND(N$9&lt;=$H38,N$9+6&gt;=$G38),1,""))</x:f>
      </x:c>
      <x:c r="O38" s="12" t="str">
        <x:f t="shared" si="6">IF(OR($G38="",$H38="",$H38&lt;$G38),"",IF(AND(O$9&lt;=$H38,O$9+6&gt;=$G38),1,""))</x:f>
      </x:c>
      <x:c r="P38" s="13" t="str">
        <x:f t="shared" si="6">IF(OR($G38="",$H38="",$H38&lt;$G38),"",IF(AND(P$9&lt;=$H38,P$9+6&gt;=$G38),1,""))</x:f>
      </x:c>
      <x:c r="Q38" s="12" t="str">
        <x:f t="shared" si="6">IF(OR($G38="",$H38="",$H38&lt;$G38),"",IF(AND(Q$9&lt;=$H38,Q$9+6&gt;=$G38),1,""))</x:f>
      </x:c>
      <x:c r="R38" s="13" t="str">
        <x:f t="shared" si="6">IF(OR($G38="",$H38="",$H38&lt;$G38),"",IF(AND(R$9&lt;=$H38,R$9+6&gt;=$G38),1,""))</x:f>
      </x:c>
      <x:c r="S38" s="12" t="str">
        <x:f t="shared" si="6">IF(OR($G38="",$H38="",$H38&lt;$G38),"",IF(AND(S$9&lt;=$H38,S$9+6&gt;=$G38),1,""))</x:f>
      </x:c>
      <x:c r="T38" s="13" t="str">
        <x:f t="shared" si="6">IF(OR($G38="",$H38="",$H38&lt;$G38),"",IF(AND(T$9&lt;=$H38,T$9+6&gt;=$G38),1,""))</x:f>
      </x:c>
      <x:c r="U38" s="12" t="str">
        <x:f t="shared" si="7">IF(OR($G38="",$H38="",$H38&lt;$G38),"",IF(AND(U$9&lt;=$H38,U$9+6&gt;=$G38),1,""))</x:f>
      </x:c>
      <x:c r="V38" s="13" t="str">
        <x:f t="shared" si="7">IF(OR($G38="",$H38="",$H38&lt;$G38),"",IF(AND(V$9&lt;=$H38,V$9+6&gt;=$G38),1,""))</x:f>
      </x:c>
      <x:c r="W38" s="12" t="str">
        <x:f t="shared" si="7">IF(OR($G38="",$H38="",$H38&lt;$G38),"",IF(AND(W$9&lt;=$H38,W$9+6&gt;=$G38),1,""))</x:f>
      </x:c>
      <x:c r="X38" s="13" t="str">
        <x:f t="shared" si="7">IF(OR($G38="",$H38="",$H38&lt;$G38),"",IF(AND(X$9&lt;=$H38,X$9+6&gt;=$G38),1,""))</x:f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n">
        <x:f t="shared" si="7">IF(OR($G38="",$H38="",$H38&lt;$G38),"",IF(AND(AA$9&lt;=$H38,AA$9+6&gt;=$G38),1,""))</x:f>
        <x:v>1</x:v>
      </x:c>
      <x:c r="AB38" s="13" t="n">
        <x:f t="shared" si="7">IF(OR($G38="",$H38="",$H38&lt;$G38),"",IF(AND(AB$9&lt;=$H38,AB$9+6&gt;=$G38),1,""))</x:f>
        <x:v>1</x:v>
      </x:c>
      <x:c r="AC38" s="12" t="n">
        <x:f t="shared" si="7">IF(OR($G38="",$H38="",$H38&lt;$G38),"",IF(AND(AC$9&lt;=$H38,AC$9+6&gt;=$G38),1,""))</x:f>
        <x:v>1</x:v>
      </x:c>
      <x:c r="AD38" s="13" t="str">
        <x:f t="shared" si="7">IF(OR($G38="",$H38="",$H38&lt;$G38),"",IF(AND(AD$9&lt;=$H38,AD$9+6&gt;=$G38),1,""))</x:f>
      </x:c>
    </x:row>
    <x:row r="39" ht="22" customHeight="1">
      <x:c r="B39" s="55" t="str">
        <x:v>Aceptación</x:v>
      </x:c>
      <x:c r="C39" s="57" t="str">
        <x:v>Auditoría final, manuales y aprobación escolar</x:v>
      </x:c>
      <x:c r="D39" s="59" t="str">
        <x:v>Lucas + LDSM</x:v>
      </x:c>
      <x:c r="E39" s="8" t="str">
        <x:v>No iniciada</x:v>
      </x:c>
      <x:c r="F39" s="8" t="str">
        <x:v>P0</x:v>
      </x:c>
      <x:c r="G39" s="50" t="n">
        <x:v>46357</x:v>
      </x:c>
      <x:c r="H39" s="50" t="n">
        <x:v>46371</x:v>
      </x:c>
      <x:c r="I39" s="11" t="n">
        <x:f t="shared" si="1">IF(OR(G39="",H39="",H39&lt;G39),"",H39-G39+1)</x:f>
        <x:v>15</x:v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str">
        <x:f t="shared" si="6">IF(OR($G39="",$H39="",$H39&lt;$G39),"",IF(AND(O$9&lt;=$H39,O$9+6&gt;=$G39),1,""))</x:f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n">
        <x:f t="shared" si="7">IF(OR($G39="",$H39="",$H39&lt;$G39),"",IF(AND(AB$9&lt;=$H39,AB$9+6&gt;=$G39),1,""))</x:f>
        <x:v>1</x:v>
      </x:c>
      <x:c r="AC39" s="12" t="n">
        <x:f t="shared" si="7">IF(OR($G39="",$H39="",$H39&lt;$G39),"",IF(AND(AC$9&lt;=$H39,AC$9+6&gt;=$G39),1,""))</x:f>
        <x:v>1</x:v>
      </x:c>
      <x:c r="AD39" s="13" t="n">
        <x:f t="shared" si="7">IF(OR($G39="",$H39="",$H39&lt;$G39),"",IF(AND(AD$9&lt;=$H39,AD$9+6&gt;=$G39),1,""))</x:f>
        <x:v>1</x:v>
      </x:c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</x:row>
    <x:row r="41" ht="24" customHeight="1">
      <x:c r="B41" s="60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C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D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E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F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G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H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I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J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K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L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M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N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O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P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Q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R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S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T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U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V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W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X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Y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Z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A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B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C41" s="61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D41" s="62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</x:row>
    <x:row r="42" ht="24" customHeight="1">
      <x:c r="B42" s="63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C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D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E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F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G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H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I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J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K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L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M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N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O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P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Q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R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S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T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U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V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W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X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Y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Z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A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B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C42" s="64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  <x:c r="AD42" s="65" t="str">
        <x:v>Reglas del plan: el Excel ERP no se modifica; las exportaciones enriquecidas son propias; cada cambio sensible debe auditarse; la cámara móvil requiere HTTPS interno; ninguna regularización puede duplicar estudiantes ni perder historial.</x:v>
      </x:c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E10:E39">
    <x:cfRule type="containsText" dxfId="11" priority="12" operator="containsText" text="Completada"/>
    <x:cfRule type="containsText" dxfId="12" priority="13" operator="containsText" text="En curso"/>
    <x:cfRule type="containsText" dxfId="13" priority="14" operator="containsText" text="En riesgo"/>
    <x:cfRule type="containsText" dxfId="14" priority="15" operator="containsText" text="No iniciada"/>
  </x:conditionalFormatting>
  <x:conditionalFormatting sqref="K10:AD39">
    <x:cfRule type="expression" dxfId="15" priority="16">
      <x:formula>AND(K10=1,$E10="Completada")</x:formula>
    </x:cfRule>
    <x:cfRule type="expression" dxfId="16" priority="17">
      <x:formula>AND(K10=1,$E10="En curso")</x:formula>
    </x:cfRule>
    <x:cfRule type="expression" dxfId="17" priority="18">
      <x:formula>AND(K10=1,$E10="En riesgo")</x:formula>
    </x:cfRule>
    <x:cfRule type="expression" dxfId="18" priority="19">
      <x:formula>AND(K10=1,$E10="No iniciada")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 iniciada,En curso,Completada,En riesgo"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